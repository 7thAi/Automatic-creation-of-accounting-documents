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CC24690-2A2B-44DD-83A3-D354F071F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 1" sheetId="1" r:id="rId1"/>
    <sheet name="Таблица 2" sheetId="5" state="hidden" r:id="rId2"/>
    <sheet name="ДТ" sheetId="2" r:id="rId3"/>
    <sheet name="МКД" sheetId="3" r:id="rId4"/>
    <sheet name="ОДХ" sheetId="6" r:id="rId5"/>
    <sheet name="ОО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6" l="1"/>
  <c r="I7" i="7" l="1"/>
  <c r="F7" i="1" l="1"/>
  <c r="D7" i="1"/>
  <c r="C7" i="1"/>
  <c r="U7" i="7"/>
  <c r="P7" i="7"/>
  <c r="G7" i="7"/>
  <c r="E7" i="7"/>
  <c r="H7" i="7" l="1"/>
  <c r="E7" i="1"/>
  <c r="G7" i="1"/>
  <c r="F6" i="1"/>
  <c r="F5" i="1"/>
  <c r="F4" i="1"/>
  <c r="D6" i="1"/>
  <c r="D5" i="1"/>
  <c r="D4" i="1"/>
  <c r="C6" i="1"/>
  <c r="C5" i="1"/>
  <c r="C4" i="1"/>
  <c r="O8" i="7" l="1"/>
  <c r="AA8" i="7"/>
  <c r="X8" i="7"/>
  <c r="M8" i="7"/>
  <c r="K8" i="7"/>
  <c r="Y8" i="7"/>
  <c r="I8" i="7"/>
  <c r="W8" i="7"/>
  <c r="R8" i="7"/>
  <c r="T8" i="7"/>
  <c r="N8" i="7"/>
  <c r="U8" i="7"/>
  <c r="L8" i="7"/>
  <c r="S8" i="7"/>
  <c r="Q8" i="7"/>
  <c r="P8" i="7"/>
  <c r="V8" i="7"/>
  <c r="Z8" i="7"/>
  <c r="H8" i="7"/>
  <c r="F8" i="1"/>
  <c r="D8" i="1"/>
  <c r="C8" i="1"/>
  <c r="H7" i="1"/>
  <c r="J8" i="7"/>
  <c r="G5" i="1"/>
  <c r="E5" i="1"/>
  <c r="G4" i="1" l="1"/>
  <c r="G6" i="1"/>
  <c r="E4" i="1" l="1"/>
  <c r="E6" i="1"/>
  <c r="E7" i="2" l="1"/>
  <c r="I7" i="6"/>
  <c r="H7" i="6" s="1"/>
  <c r="G7" i="6"/>
  <c r="E7" i="6"/>
  <c r="Q8" i="6" l="1"/>
  <c r="P8" i="6"/>
  <c r="S8" i="6"/>
  <c r="H6" i="1"/>
  <c r="O8" i="6"/>
  <c r="L8" i="6"/>
  <c r="H8" i="6"/>
  <c r="R8" i="6"/>
  <c r="M8" i="6"/>
  <c r="K8" i="6"/>
  <c r="N8" i="6"/>
  <c r="J8" i="6"/>
  <c r="I8" i="6"/>
  <c r="G7" i="2" l="1"/>
  <c r="E17" i="5" l="1"/>
  <c r="G9" i="5" l="1"/>
  <c r="G16" i="5"/>
  <c r="G24" i="5"/>
  <c r="D24" i="5" l="1"/>
  <c r="D23" i="5"/>
  <c r="D11" i="5"/>
  <c r="D8" i="5"/>
  <c r="D12" i="5"/>
  <c r="D9" i="5"/>
  <c r="D13" i="5"/>
  <c r="D10" i="5"/>
  <c r="D18" i="5"/>
  <c r="D15" i="5"/>
  <c r="D19" i="5"/>
  <c r="D17" i="5"/>
  <c r="D16" i="5"/>
  <c r="D20" i="5"/>
  <c r="D21" i="5"/>
  <c r="E24" i="5"/>
  <c r="E23" i="5"/>
  <c r="E21" i="5"/>
  <c r="E20" i="5"/>
  <c r="E19" i="5"/>
  <c r="E18" i="5"/>
  <c r="E16" i="5"/>
  <c r="E13" i="5"/>
  <c r="E12" i="5"/>
  <c r="E11" i="5"/>
  <c r="H23" i="5"/>
  <c r="H8" i="5"/>
  <c r="U7" i="2" l="1"/>
  <c r="E10" i="5" s="1"/>
  <c r="P7" i="2"/>
  <c r="I7" i="2"/>
  <c r="H7" i="2" l="1"/>
  <c r="E9" i="5"/>
  <c r="E8" i="5"/>
  <c r="H24" i="5"/>
  <c r="O8" i="2" l="1"/>
  <c r="N8" i="2"/>
  <c r="AA8" i="2"/>
  <c r="H4" i="1"/>
  <c r="X8" i="2"/>
  <c r="S8" i="2"/>
  <c r="M8" i="2"/>
  <c r="AB8" i="2"/>
  <c r="Y8" i="2"/>
  <c r="Z8" i="2"/>
  <c r="K8" i="2"/>
  <c r="Q8" i="2"/>
  <c r="U8" i="2"/>
  <c r="I8" i="2"/>
  <c r="L8" i="2"/>
  <c r="V8" i="2"/>
  <c r="T8" i="2"/>
  <c r="J8" i="2"/>
  <c r="R8" i="2"/>
  <c r="W8" i="2"/>
  <c r="P8" i="2"/>
  <c r="H8" i="2"/>
  <c r="F24" i="5"/>
  <c r="F23" i="5"/>
  <c r="H9" i="5" l="1"/>
  <c r="F11" i="5" l="1"/>
  <c r="F12" i="5"/>
  <c r="F10" i="5"/>
  <c r="F9" i="5"/>
  <c r="F13" i="5"/>
  <c r="F8" i="5"/>
  <c r="I8" i="3"/>
  <c r="G8" i="1"/>
  <c r="E15" i="5" l="1"/>
  <c r="H8" i="3"/>
  <c r="H9" i="3" l="1"/>
  <c r="H5" i="1"/>
  <c r="H8" i="1" s="1"/>
  <c r="I7" i="1" s="1"/>
  <c r="I9" i="3"/>
  <c r="J9" i="3"/>
  <c r="M9" i="3"/>
  <c r="K9" i="3"/>
  <c r="N9" i="3"/>
  <c r="O9" i="3"/>
  <c r="L9" i="3"/>
  <c r="P9" i="3"/>
  <c r="H16" i="5" l="1"/>
  <c r="F16" i="5" s="1"/>
  <c r="F18" i="5"/>
  <c r="F19" i="5"/>
  <c r="F21" i="5"/>
  <c r="F15" i="5"/>
  <c r="F20" i="5" l="1"/>
  <c r="F17" i="5"/>
  <c r="I5" i="1"/>
  <c r="I6" i="1"/>
  <c r="I4" i="1"/>
  <c r="H15" i="5" l="1"/>
  <c r="E8" i="1"/>
  <c r="G8" i="3" l="1"/>
  <c r="E8" i="3"/>
</calcChain>
</file>

<file path=xl/sharedStrings.xml><?xml version="1.0" encoding="utf-8"?>
<sst xmlns="http://schemas.openxmlformats.org/spreadsheetml/2006/main" count="203" uniqueCount="89">
  <si>
    <t>объекты управления, эксплуатации, содержания и текущего ремонта</t>
  </si>
  <si>
    <t>общее количество объектов</t>
  </si>
  <si>
    <t>количество объектов с нарушениями</t>
  </si>
  <si>
    <t>общее количество установленных нарушений</t>
  </si>
  <si>
    <t>единицы</t>
  </si>
  <si>
    <t>проценты</t>
  </si>
  <si>
    <t>дворовые территории</t>
  </si>
  <si>
    <t>многоквартирные дома</t>
  </si>
  <si>
    <t>объекты дорожного хозяйства</t>
  </si>
  <si>
    <t>всего</t>
  </si>
  <si>
    <t>район</t>
  </si>
  <si>
    <t>общее количество дворов</t>
  </si>
  <si>
    <t>количество проверенных дворов</t>
  </si>
  <si>
    <t>%</t>
  </si>
  <si>
    <t>количество дворов с нарушениями</t>
  </si>
  <si>
    <t>общее количество нарушений</t>
  </si>
  <si>
    <t>в том числе выявленные нарушения (количество)</t>
  </si>
  <si>
    <t>состояние АБП</t>
  </si>
  <si>
    <t>в том числе</t>
  </si>
  <si>
    <t>состояние детских площадок</t>
  </si>
  <si>
    <t>состояние спортивных площадок</t>
  </si>
  <si>
    <t>состояние контейнерных площадок</t>
  </si>
  <si>
    <t>локальные разрушения на проездах</t>
  </si>
  <si>
    <t>локальные разрушения на тротуарах</t>
  </si>
  <si>
    <t>МАФ</t>
  </si>
  <si>
    <t>информационная табличка</t>
  </si>
  <si>
    <t>шт.</t>
  </si>
  <si>
    <t>Общее количество МКД</t>
  </si>
  <si>
    <t>Количество проверенных МКД</t>
  </si>
  <si>
    <t>количество МКД с нарушениями</t>
  </si>
  <si>
    <t xml:space="preserve">состояние входной группы </t>
  </si>
  <si>
    <t>состояние отмостки</t>
  </si>
  <si>
    <t>Состояние цоколя</t>
  </si>
  <si>
    <t>состояние ливневых стоков</t>
  </si>
  <si>
    <t>наклейки, надписи на фасаде здания</t>
  </si>
  <si>
    <t>общее количество ОДХ</t>
  </si>
  <si>
    <t>количество проверенных ОДХ</t>
  </si>
  <si>
    <t>количество ОДХ с нарушениями</t>
  </si>
  <si>
    <t>локальные разрушения бортового камня</t>
  </si>
  <si>
    <t>ИДН</t>
  </si>
  <si>
    <t>состояние покрытия</t>
  </si>
  <si>
    <t>техническое состояние (крыльца, лестницы, входной двери в подъезд, козырька над подъездом)</t>
  </si>
  <si>
    <t>санитарное состояние (наклейки, надписи, мусор)</t>
  </si>
  <si>
    <t>наличие снежных масс и сосулек на кровлях и выступающих элементов фасадов зданий</t>
  </si>
  <si>
    <t>итого в процентном соотношении от выявленных нарушений по МКД</t>
  </si>
  <si>
    <t>итого в процентном соотношении от выявленных нарушений по ДТ</t>
  </si>
  <si>
    <t>период проверки</t>
  </si>
  <si>
    <t>количество нарушений</t>
  </si>
  <si>
    <t>неудовлетворительное состояние АБП</t>
  </si>
  <si>
    <t>неудовлетворительное состояние СП</t>
  </si>
  <si>
    <t>не убрана, не очищена территория</t>
  </si>
  <si>
    <t>неудовлетворительное состояние КП</t>
  </si>
  <si>
    <t>неудовлетворительное состояние МАФ на ДТ</t>
  </si>
  <si>
    <t>неудовлетворительное состояние входных групп</t>
  </si>
  <si>
    <t>неудовлетворительное состояние домовых указателей</t>
  </si>
  <si>
    <t>неудовлетворительное состояние цоколя</t>
  </si>
  <si>
    <t>неудовлетворительное состояние ливневых стоков</t>
  </si>
  <si>
    <t>наклейки, надписи на фасаде зданий</t>
  </si>
  <si>
    <t>неудовлетворительное техническое состояние АБП</t>
  </si>
  <si>
    <t>неудовлетворительное санитарное состояние АБП</t>
  </si>
  <si>
    <t>объект обследования / вид нарушения</t>
  </si>
  <si>
    <t>неудовлетворительное состояние ДП</t>
  </si>
  <si>
    <t>неудовлетворительное состояние отмостки</t>
  </si>
  <si>
    <t>ДТ 2023</t>
  </si>
  <si>
    <t>МКД 2023</t>
  </si>
  <si>
    <t>ОДХ 2023</t>
  </si>
  <si>
    <t>ДТ 2024</t>
  </si>
  <si>
    <t>МКД 2024</t>
  </si>
  <si>
    <t>ОДХ 2024</t>
  </si>
  <si>
    <t>общее количество проверенных объектов</t>
  </si>
  <si>
    <t>объекты озеленения</t>
  </si>
  <si>
    <t>общее количество ОО</t>
  </si>
  <si>
    <t>количество ОО с нарушениями</t>
  </si>
  <si>
    <t>количество проверенных ОО</t>
  </si>
  <si>
    <t>подпорная стена</t>
  </si>
  <si>
    <t>Газон и зеленые насаждения</t>
  </si>
  <si>
    <t>МАФ на ДТ</t>
  </si>
  <si>
    <t>сан. АБП</t>
  </si>
  <si>
    <t>Сан. ДП</t>
  </si>
  <si>
    <t>Сан. СП</t>
  </si>
  <si>
    <t>МАФ ОО</t>
  </si>
  <si>
    <t>итого в процентном соотношении от выявленных нарушений по ОО</t>
  </si>
  <si>
    <t>МАФ ОДХ</t>
  </si>
  <si>
    <t>локальные разрушения на ДТС</t>
  </si>
  <si>
    <t>Район</t>
  </si>
  <si>
    <t>неудовлетворительное  состояние
ограждений</t>
  </si>
  <si>
    <t>техническое состояние</t>
  </si>
  <si>
    <t>санитарное состояние</t>
  </si>
  <si>
    <t>неудовлетворительное санитарное состояние дорожных знаков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</si>
</sst>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00B0F0"/>
      <name val="Times New Roman"/>
      <family val="1"/>
      <charset val="204"/>
    </font>
    <font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Protection="1">
      <protection locked="0"/>
    </xf>
    <xf numFmtId="0" fontId="0" fillId="0" borderId="0" xfId="0" applyProtection="1">
      <protection locked="0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vertical="center" wrapText="1"/>
    </xf>
    <xf numFmtId="2" fontId="2" fillId="0" borderId="5" xfId="1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vertical="center" wrapText="1"/>
    </xf>
    <xf numFmtId="0" fontId="2" fillId="0" borderId="0" xfId="0" applyFont="1" applyProtection="1">
      <protection locked="0"/>
    </xf>
    <xf numFmtId="0" fontId="4" fillId="0" borderId="5" xfId="0" applyFont="1" applyBorder="1" applyAlignment="1" applyProtection="1">
      <alignment horizontal="center" vertical="center" textRotation="90" wrapText="1"/>
      <protection locked="0"/>
    </xf>
    <xf numFmtId="0" fontId="5" fillId="0" borderId="5" xfId="0" applyFont="1" applyBorder="1" applyAlignment="1" applyProtection="1">
      <alignment horizontal="center" vertical="center" textRotation="90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vertical="center" wrapText="1"/>
      <protection locked="0"/>
    </xf>
    <xf numFmtId="0" fontId="6" fillId="4" borderId="5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5" fillId="4" borderId="5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vertical="center" wrapText="1"/>
      <protection locked="0"/>
    </xf>
    <xf numFmtId="2" fontId="2" fillId="0" borderId="0" xfId="0" applyNumberFormat="1" applyFont="1" applyProtection="1">
      <protection locked="0"/>
    </xf>
    <xf numFmtId="10" fontId="4" fillId="0" borderId="5" xfId="0" applyNumberFormat="1" applyFont="1" applyBorder="1" applyAlignment="1" applyProtection="1">
      <alignment horizontal="center" vertical="center" wrapText="1"/>
    </xf>
    <xf numFmtId="2" fontId="4" fillId="0" borderId="5" xfId="1" applyNumberFormat="1" applyFont="1" applyBorder="1" applyAlignment="1" applyProtection="1">
      <alignment horizontal="center" vertical="center" wrapText="1"/>
    </xf>
    <xf numFmtId="0" fontId="5" fillId="4" borderId="5" xfId="0" applyFont="1" applyFill="1" applyBorder="1" applyAlignment="1" applyProtection="1">
      <alignment horizontal="center" vertical="center" wrapText="1"/>
    </xf>
    <xf numFmtId="2" fontId="5" fillId="4" borderId="8" xfId="0" applyNumberFormat="1" applyFont="1" applyFill="1" applyBorder="1" applyAlignment="1" applyProtection="1">
      <alignment horizontal="center" vertical="center" wrapText="1"/>
    </xf>
    <xf numFmtId="2" fontId="5" fillId="5" borderId="5" xfId="1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 textRotation="90" wrapText="1"/>
    </xf>
    <xf numFmtId="0" fontId="5" fillId="0" borderId="5" xfId="0" applyFont="1" applyBorder="1" applyAlignment="1" applyProtection="1">
      <alignment horizontal="center" vertical="center" textRotation="90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2" fillId="4" borderId="5" xfId="0" applyFont="1" applyFill="1" applyBorder="1" applyAlignment="1" applyProtection="1">
      <alignment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0" fontId="4" fillId="2" borderId="5" xfId="1" applyNumberFormat="1" applyFont="1" applyFill="1" applyBorder="1" applyAlignment="1" applyProtection="1">
      <alignment horizontal="center" vertical="center" wrapText="1"/>
    </xf>
    <xf numFmtId="2" fontId="4" fillId="2" borderId="5" xfId="1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/>
    </xf>
    <xf numFmtId="2" fontId="4" fillId="4" borderId="8" xfId="0" applyNumberFormat="1" applyFont="1" applyFill="1" applyBorder="1" applyAlignment="1" applyProtection="1">
      <alignment horizontal="center" vertical="center" wrapText="1"/>
    </xf>
    <xf numFmtId="2" fontId="5" fillId="4" borderId="3" xfId="1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 textRotation="90" wrapText="1"/>
    </xf>
    <xf numFmtId="0" fontId="5" fillId="4" borderId="2" xfId="0" applyFont="1" applyFill="1" applyBorder="1" applyAlignment="1" applyProtection="1">
      <alignment horizontal="center" vertical="center" textRotation="90" wrapText="1"/>
    </xf>
    <xf numFmtId="0" fontId="5" fillId="4" borderId="7" xfId="0" applyFont="1" applyFill="1" applyBorder="1" applyAlignment="1" applyProtection="1">
      <alignment horizontal="center" vertical="center" textRotation="90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textRotation="90" wrapText="1"/>
    </xf>
    <xf numFmtId="0" fontId="5" fillId="0" borderId="7" xfId="0" applyFont="1" applyBorder="1" applyAlignment="1" applyProtection="1">
      <alignment horizontal="center" vertical="center" textRotation="90" wrapText="1"/>
    </xf>
    <xf numFmtId="0" fontId="5" fillId="0" borderId="2" xfId="0" applyFont="1" applyBorder="1" applyAlignment="1" applyProtection="1">
      <alignment horizontal="center" vertical="center" textRotation="90" wrapText="1"/>
    </xf>
    <xf numFmtId="0" fontId="5" fillId="2" borderId="1" xfId="0" applyFont="1" applyFill="1" applyBorder="1" applyAlignment="1" applyProtection="1">
      <alignment horizontal="center" vertical="center" textRotation="90" wrapText="1"/>
    </xf>
    <xf numFmtId="0" fontId="5" fillId="2" borderId="7" xfId="0" applyFont="1" applyFill="1" applyBorder="1" applyAlignment="1" applyProtection="1">
      <alignment horizontal="center" vertical="center" textRotation="90" wrapText="1"/>
    </xf>
    <xf numFmtId="0" fontId="5" fillId="2" borderId="2" xfId="0" applyFont="1" applyFill="1" applyBorder="1" applyAlignment="1" applyProtection="1">
      <alignment horizontal="center" vertical="center" textRotation="90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textRotation="90" wrapText="1"/>
    </xf>
    <xf numFmtId="0" fontId="4" fillId="3" borderId="7" xfId="0" applyFont="1" applyFill="1" applyBorder="1" applyAlignment="1" applyProtection="1">
      <alignment horizontal="center" vertical="center" textRotation="90" wrapText="1"/>
    </xf>
    <xf numFmtId="0" fontId="4" fillId="3" borderId="2" xfId="0" applyFont="1" applyFill="1" applyBorder="1" applyAlignment="1" applyProtection="1">
      <alignment horizontal="center" vertical="center" textRotation="90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textRotation="90" wrapText="1"/>
    </xf>
    <xf numFmtId="0" fontId="4" fillId="2" borderId="2" xfId="0" applyFont="1" applyFill="1" applyBorder="1" applyAlignment="1" applyProtection="1">
      <alignment horizontal="center" vertical="center" textRotation="90" wrapText="1"/>
    </xf>
    <xf numFmtId="0" fontId="5" fillId="4" borderId="1" xfId="0" applyFont="1" applyFill="1" applyBorder="1" applyAlignment="1" applyProtection="1">
      <alignment horizontal="center" vertical="center" textRotation="90" wrapText="1"/>
      <protection locked="0"/>
    </xf>
    <xf numFmtId="0" fontId="5" fillId="4" borderId="7" xfId="0" applyFont="1" applyFill="1" applyBorder="1" applyAlignment="1" applyProtection="1">
      <alignment horizontal="center" vertical="center" textRotation="90" wrapText="1"/>
      <protection locked="0"/>
    </xf>
    <xf numFmtId="0" fontId="5" fillId="4" borderId="2" xfId="0" applyFont="1" applyFill="1" applyBorder="1" applyAlignment="1" applyProtection="1">
      <alignment horizontal="center" vertical="center" textRotation="90" wrapText="1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textRotation="90" wrapText="1"/>
      <protection locked="0"/>
    </xf>
    <xf numFmtId="0" fontId="5" fillId="0" borderId="7" xfId="0" applyFont="1" applyBorder="1" applyAlignment="1" applyProtection="1">
      <alignment horizontal="center" vertical="center" textRotation="90" wrapText="1"/>
      <protection locked="0"/>
    </xf>
    <xf numFmtId="0" fontId="5" fillId="0" borderId="2" xfId="0" applyFont="1" applyBorder="1" applyAlignment="1" applyProtection="1">
      <alignment horizontal="center" vertical="center" textRotation="90" wrapText="1"/>
      <protection locked="0"/>
    </xf>
    <xf numFmtId="0" fontId="5" fillId="2" borderId="1" xfId="0" applyFont="1" applyFill="1" applyBorder="1" applyAlignment="1" applyProtection="1">
      <alignment horizontal="center" vertical="center" textRotation="90" wrapText="1"/>
      <protection locked="0"/>
    </xf>
    <xf numFmtId="0" fontId="5" fillId="2" borderId="7" xfId="0" applyFont="1" applyFill="1" applyBorder="1" applyAlignment="1" applyProtection="1">
      <alignment horizontal="center" vertical="center" textRotation="90" wrapText="1"/>
      <protection locked="0"/>
    </xf>
    <xf numFmtId="0" fontId="5" fillId="2" borderId="2" xfId="0" applyFont="1" applyFill="1" applyBorder="1" applyAlignment="1" applyProtection="1">
      <alignment horizontal="center" vertical="center" textRotation="90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Процентный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565"/>
      <color rgb="FFFF8181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8" sqref="I8"/>
    </sheetView>
  </sheetViews>
  <sheetFormatPr defaultRowHeight="15" x14ac:dyDescent="0.25"/>
  <cols>
    <col min="1" max="1" width="9.140625" style="18"/>
    <col min="2" max="2" width="26.140625" style="19" customWidth="1"/>
    <col min="3" max="9" width="16" style="19" customWidth="1"/>
    <col min="10" max="16384" width="9.140625" style="19"/>
  </cols>
  <sheetData>
    <row r="1" spans="2:9" ht="15.75" thickBot="1" x14ac:dyDescent="0.3"/>
    <row r="2" spans="2:9" ht="104.25" customHeight="1" thickBot="1" x14ac:dyDescent="0.3">
      <c r="B2" s="66" t="s">
        <v>0</v>
      </c>
      <c r="C2" s="20" t="s">
        <v>1</v>
      </c>
      <c r="D2" s="68" t="s">
        <v>69</v>
      </c>
      <c r="E2" s="69"/>
      <c r="F2" s="68" t="s">
        <v>2</v>
      </c>
      <c r="G2" s="69"/>
      <c r="H2" s="68" t="s">
        <v>3</v>
      </c>
      <c r="I2" s="69"/>
    </row>
    <row r="3" spans="2:9" ht="15.75" thickBot="1" x14ac:dyDescent="0.3">
      <c r="B3" s="67"/>
      <c r="C3" s="21" t="s">
        <v>4</v>
      </c>
      <c r="D3" s="21" t="s">
        <v>4</v>
      </c>
      <c r="E3" s="21" t="s">
        <v>5</v>
      </c>
      <c r="F3" s="21" t="s">
        <v>4</v>
      </c>
      <c r="G3" s="21" t="s">
        <v>5</v>
      </c>
      <c r="H3" s="21" t="s">
        <v>4</v>
      </c>
      <c r="I3" s="21" t="s">
        <v>5</v>
      </c>
    </row>
    <row r="4" spans="2:9" ht="15.75" thickBot="1" x14ac:dyDescent="0.3">
      <c r="B4" s="22" t="s">
        <v>6</v>
      </c>
      <c r="C4" s="21">
        <f>ДТ!C7</f>
        <v>0</v>
      </c>
      <c r="D4" s="21">
        <f>ДТ!D7</f>
        <v>0</v>
      </c>
      <c r="E4" s="23">
        <f t="shared" ref="E4:E7" si="0">IFERROR(D4/C4*100,0)</f>
        <v>0</v>
      </c>
      <c r="F4" s="21">
        <f>ДТ!F7</f>
        <v>0</v>
      </c>
      <c r="G4" s="23">
        <f t="shared" ref="G4:G7" si="1">IFERROR(F4/D4*100,0)</f>
        <v>0</v>
      </c>
      <c r="H4" s="21">
        <f>ДТ!H7</f>
        <v>0</v>
      </c>
      <c r="I4" s="23">
        <f>IFERROR(ROUND(H4/$H$8,4)*100,0)</f>
        <v>0</v>
      </c>
    </row>
    <row r="5" spans="2:9" ht="15.75" thickBot="1" x14ac:dyDescent="0.3">
      <c r="B5" s="22" t="s">
        <v>7</v>
      </c>
      <c r="C5" s="21">
        <f>МКД!C8</f>
        <v>0</v>
      </c>
      <c r="D5" s="21">
        <f>МКД!D8</f>
        <v>0</v>
      </c>
      <c r="E5" s="23">
        <f>IFERROR(D5/C5*100,0)</f>
        <v>0</v>
      </c>
      <c r="F5" s="21">
        <f>МКД!F8</f>
        <v>0</v>
      </c>
      <c r="G5" s="23">
        <f>IFERROR(F5/D5*100,0)</f>
        <v>0</v>
      </c>
      <c r="H5" s="21">
        <f>МКД!H8</f>
        <v>0</v>
      </c>
      <c r="I5" s="23">
        <f t="shared" ref="I5:I7" si="2">IFERROR(ROUND(H5/$H$8,4)*100,0)</f>
        <v>0</v>
      </c>
    </row>
    <row r="6" spans="2:9" ht="30.75" thickBot="1" x14ac:dyDescent="0.3">
      <c r="B6" s="22" t="s">
        <v>8</v>
      </c>
      <c r="C6" s="21">
        <f>ОДХ!C7</f>
        <v>0</v>
      </c>
      <c r="D6" s="21">
        <f>ОДХ!D7</f>
        <v>0</v>
      </c>
      <c r="E6" s="23">
        <f t="shared" si="0"/>
        <v>0</v>
      </c>
      <c r="F6" s="21">
        <f>ОДХ!F7</f>
        <v>0</v>
      </c>
      <c r="G6" s="23">
        <f t="shared" si="1"/>
        <v>0</v>
      </c>
      <c r="H6" s="21">
        <f>ОДХ!H7</f>
        <v>0</v>
      </c>
      <c r="I6" s="23">
        <f t="shared" si="2"/>
        <v>0</v>
      </c>
    </row>
    <row r="7" spans="2:9" ht="15.75" thickBot="1" x14ac:dyDescent="0.3">
      <c r="B7" s="22" t="s">
        <v>70</v>
      </c>
      <c r="C7" s="21">
        <f>ОО!C7</f>
        <v>0</v>
      </c>
      <c r="D7" s="21">
        <f>ОО!D7</f>
        <v>0</v>
      </c>
      <c r="E7" s="23">
        <f t="shared" si="0"/>
        <v>0</v>
      </c>
      <c r="F7" s="21">
        <f>ОО!F7</f>
        <v>0</v>
      </c>
      <c r="G7" s="23">
        <f t="shared" si="1"/>
        <v>0</v>
      </c>
      <c r="H7" s="21">
        <f>ОО!H7</f>
        <v>0</v>
      </c>
      <c r="I7" s="23">
        <f t="shared" si="2"/>
        <v>0</v>
      </c>
    </row>
    <row r="8" spans="2:9" ht="15.75" thickBot="1" x14ac:dyDescent="0.3">
      <c r="B8" s="24" t="s">
        <v>9</v>
      </c>
      <c r="C8" s="21">
        <f>SUM(C4:C7)</f>
        <v>0</v>
      </c>
      <c r="D8" s="21">
        <f>SUM(D4:D7)</f>
        <v>0</v>
      </c>
      <c r="E8" s="23">
        <f>IFERROR(D8/C8*100,0)</f>
        <v>0</v>
      </c>
      <c r="F8" s="21">
        <f>SUM(F4:F7)</f>
        <v>0</v>
      </c>
      <c r="G8" s="23">
        <f>IFERROR(F8/D8*100,0)</f>
        <v>0</v>
      </c>
      <c r="H8" s="21">
        <f>SUM(H4:H7)</f>
        <v>0</v>
      </c>
      <c r="I8" s="23">
        <v>100</v>
      </c>
    </row>
  </sheetData>
  <sheetProtection algorithmName="SHA-512" hashValue="rp6hxUbDx1WehggZgYL4CSRtntyXjYm2wODykzEKq7MRx7R+pHKHvsx3LSDZFFdjYhWPKr/v6CIiGgIKxyJzwQ==" saltValue="2D0iOYCGbhY/ibyVp4rp8A==" spinCount="100000" sheet="1" formatCells="0" formatColumns="0" formatRows="0"/>
  <protectedRanges>
    <protectedRange sqref="C4:D7" name="Диапазон1"/>
  </protectedRanges>
  <mergeCells count="4">
    <mergeCell ref="B2:B3"/>
    <mergeCell ref="F2:G2"/>
    <mergeCell ref="H2:I2"/>
    <mergeCell ref="D2:E2"/>
  </mergeCells>
  <conditionalFormatting sqref="I8">
    <cfRule type="cellIs" dxfId="2" priority="1" operator="equal">
      <formula>0</formula>
    </cfRule>
    <cfRule type="cellIs" dxfId="1" priority="2" operator="lessThan">
      <formula>100</formula>
    </cfRule>
    <cfRule type="cellIs" dxfId="0" priority="3" operator="greaterThan">
      <formula>100</formula>
    </cfRule>
  </conditionalFormatting>
  <pageMargins left="0.7" right="0.7" top="0.75" bottom="0.75" header="0.3" footer="0.3"/>
  <pageSetup paperSize="9" orientation="portrait" horizontalDpi="300" verticalDpi="300" r:id="rId1"/>
  <ignoredErrors>
    <ignoredError sqref="G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4"/>
  <sheetViews>
    <sheetView workbookViewId="0">
      <selection activeCell="E9" sqref="E9"/>
    </sheetView>
  </sheetViews>
  <sheetFormatPr defaultColWidth="9.140625" defaultRowHeight="15" x14ac:dyDescent="0.25"/>
  <cols>
    <col min="1" max="1" width="9.140625" style="1"/>
    <col min="2" max="2" width="27.28515625" style="1" customWidth="1"/>
    <col min="3" max="6" width="17" style="1" customWidth="1"/>
    <col min="7" max="8" width="10.42578125" style="1" customWidth="1"/>
    <col min="9" max="16384" width="9.140625" style="1"/>
  </cols>
  <sheetData>
    <row r="1" spans="2:8" ht="15.75" thickBot="1" x14ac:dyDescent="0.3"/>
    <row r="2" spans="2:8" ht="30" customHeight="1" x14ac:dyDescent="0.25">
      <c r="B2" s="75" t="s">
        <v>60</v>
      </c>
      <c r="C2" s="78" t="s">
        <v>46</v>
      </c>
      <c r="D2" s="79"/>
      <c r="E2" s="78" t="s">
        <v>46</v>
      </c>
      <c r="F2" s="79"/>
    </row>
    <row r="3" spans="2:8" ht="15" customHeight="1" x14ac:dyDescent="0.25">
      <c r="B3" s="76"/>
      <c r="C3" s="80"/>
      <c r="D3" s="81"/>
      <c r="E3" s="80"/>
      <c r="F3" s="81"/>
    </row>
    <row r="4" spans="2:8" ht="15.75" customHeight="1" thickBot="1" x14ac:dyDescent="0.3">
      <c r="B4" s="76"/>
      <c r="C4" s="82"/>
      <c r="D4" s="83"/>
      <c r="E4" s="82"/>
      <c r="F4" s="83"/>
    </row>
    <row r="5" spans="2:8" ht="15.75" thickBot="1" x14ac:dyDescent="0.3">
      <c r="B5" s="76"/>
      <c r="C5" s="70" t="s">
        <v>47</v>
      </c>
      <c r="D5" s="71"/>
      <c r="E5" s="71"/>
      <c r="F5" s="72"/>
    </row>
    <row r="6" spans="2:8" ht="15.75" thickBot="1" x14ac:dyDescent="0.3">
      <c r="B6" s="77"/>
      <c r="C6" s="2" t="s">
        <v>26</v>
      </c>
      <c r="D6" s="2" t="s">
        <v>13</v>
      </c>
      <c r="E6" s="2" t="s">
        <v>26</v>
      </c>
      <c r="F6" s="3" t="s">
        <v>13</v>
      </c>
    </row>
    <row r="7" spans="2:8" ht="15.75" thickBot="1" x14ac:dyDescent="0.3">
      <c r="B7" s="73" t="s">
        <v>6</v>
      </c>
      <c r="C7" s="74"/>
      <c r="D7" s="74"/>
      <c r="E7" s="74"/>
      <c r="F7" s="74"/>
      <c r="G7" s="4" t="s">
        <v>63</v>
      </c>
      <c r="H7" s="5" t="s">
        <v>66</v>
      </c>
    </row>
    <row r="8" spans="2:8" ht="30.75" thickBot="1" x14ac:dyDescent="0.3">
      <c r="B8" s="8" t="s">
        <v>48</v>
      </c>
      <c r="C8" s="9">
        <v>0</v>
      </c>
      <c r="D8" s="10">
        <f>IFERROR(C8/$G$9*100,0)</f>
        <v>0</v>
      </c>
      <c r="E8" s="9">
        <f>ДТ!I7</f>
        <v>0</v>
      </c>
      <c r="F8" s="10">
        <f>IFERROR(E8/$H$9*100,0)</f>
        <v>0</v>
      </c>
      <c r="G8" s="6"/>
      <c r="H8" s="7">
        <f>'Таблица 1'!C4</f>
        <v>0</v>
      </c>
    </row>
    <row r="9" spans="2:8" ht="30.75" thickBot="1" x14ac:dyDescent="0.3">
      <c r="B9" s="8" t="s">
        <v>61</v>
      </c>
      <c r="C9" s="9">
        <v>0</v>
      </c>
      <c r="D9" s="10">
        <f t="shared" ref="D9:D13" si="0">IFERROR(C9/$G$9*100,0)</f>
        <v>0</v>
      </c>
      <c r="E9" s="9">
        <f>ДТ!P7</f>
        <v>0</v>
      </c>
      <c r="F9" s="10">
        <f t="shared" ref="F9:F13" si="1">IFERROR(E9/$H$9*100,0)</f>
        <v>0</v>
      </c>
      <c r="G9" s="12">
        <f>SUM(C8:C13)</f>
        <v>0</v>
      </c>
      <c r="H9" s="13">
        <f>'Таблица 1'!H4</f>
        <v>0</v>
      </c>
    </row>
    <row r="10" spans="2:8" ht="30.75" thickBot="1" x14ac:dyDescent="0.3">
      <c r="B10" s="8" t="s">
        <v>49</v>
      </c>
      <c r="C10" s="9">
        <v>0</v>
      </c>
      <c r="D10" s="10">
        <f t="shared" si="0"/>
        <v>0</v>
      </c>
      <c r="E10" s="9">
        <f>ДТ!U7</f>
        <v>0</v>
      </c>
      <c r="F10" s="10">
        <f t="shared" si="1"/>
        <v>0</v>
      </c>
      <c r="G10" s="14"/>
      <c r="H10" s="14"/>
    </row>
    <row r="11" spans="2:8" ht="30.75" thickBot="1" x14ac:dyDescent="0.3">
      <c r="B11" s="8" t="s">
        <v>50</v>
      </c>
      <c r="C11" s="9">
        <v>0</v>
      </c>
      <c r="D11" s="10">
        <f t="shared" si="0"/>
        <v>0</v>
      </c>
      <c r="E11" s="9" t="e">
        <f>ДТ!#REF!</f>
        <v>#REF!</v>
      </c>
      <c r="F11" s="10">
        <f t="shared" si="1"/>
        <v>0</v>
      </c>
      <c r="G11" s="14"/>
      <c r="H11" s="14"/>
    </row>
    <row r="12" spans="2:8" ht="30.75" thickBot="1" x14ac:dyDescent="0.3">
      <c r="B12" s="8" t="s">
        <v>51</v>
      </c>
      <c r="C12" s="9">
        <v>0</v>
      </c>
      <c r="D12" s="10">
        <f t="shared" si="0"/>
        <v>0</v>
      </c>
      <c r="E12" s="9">
        <f>ДТ!AB7</f>
        <v>0</v>
      </c>
      <c r="F12" s="10">
        <f t="shared" si="1"/>
        <v>0</v>
      </c>
      <c r="G12" s="14"/>
      <c r="H12" s="14"/>
    </row>
    <row r="13" spans="2:8" ht="30.75" thickBot="1" x14ac:dyDescent="0.3">
      <c r="B13" s="8" t="s">
        <v>52</v>
      </c>
      <c r="C13" s="9">
        <v>0</v>
      </c>
      <c r="D13" s="10">
        <f t="shared" si="0"/>
        <v>0</v>
      </c>
      <c r="E13" s="9" t="e">
        <f>ДТ!#REF!</f>
        <v>#REF!</v>
      </c>
      <c r="F13" s="10">
        <f t="shared" si="1"/>
        <v>0</v>
      </c>
      <c r="G13" s="14"/>
      <c r="H13" s="14"/>
    </row>
    <row r="14" spans="2:8" ht="15.75" thickBot="1" x14ac:dyDescent="0.3">
      <c r="B14" s="73" t="s">
        <v>7</v>
      </c>
      <c r="C14" s="74"/>
      <c r="D14" s="74"/>
      <c r="E14" s="74"/>
      <c r="F14" s="74"/>
      <c r="G14" s="15" t="s">
        <v>64</v>
      </c>
      <c r="H14" s="16" t="s">
        <v>67</v>
      </c>
    </row>
    <row r="15" spans="2:8" ht="30.75" thickBot="1" x14ac:dyDescent="0.3">
      <c r="B15" s="8" t="s">
        <v>53</v>
      </c>
      <c r="C15" s="9">
        <v>0</v>
      </c>
      <c r="D15" s="10">
        <f>IFERROR(C15/$G$16*100,0)</f>
        <v>0</v>
      </c>
      <c r="E15" s="9">
        <f>МКД!I8</f>
        <v>0</v>
      </c>
      <c r="F15" s="10">
        <f>IFERROR(E15/$H$16*100,0)</f>
        <v>0</v>
      </c>
      <c r="G15" s="6"/>
      <c r="H15" s="7">
        <f>'Таблица 1'!C5</f>
        <v>0</v>
      </c>
    </row>
    <row r="16" spans="2:8" ht="45.75" thickBot="1" x14ac:dyDescent="0.3">
      <c r="B16" s="8" t="s">
        <v>54</v>
      </c>
      <c r="C16" s="9">
        <v>0</v>
      </c>
      <c r="D16" s="10">
        <f t="shared" ref="D16:D21" si="2">IFERROR(C16/$G$16*100,0)</f>
        <v>0</v>
      </c>
      <c r="E16" s="9" t="e">
        <f>МКД!#REF!</f>
        <v>#REF!</v>
      </c>
      <c r="F16" s="10">
        <f t="shared" ref="F16:F21" si="3">IFERROR(E16/$H$16*100,0)</f>
        <v>0</v>
      </c>
      <c r="G16" s="12">
        <f>SUM(C15:C21)</f>
        <v>0</v>
      </c>
      <c r="H16" s="13">
        <f>'Таблица 1'!H5</f>
        <v>0</v>
      </c>
    </row>
    <row r="17" spans="2:8" ht="30.75" thickBot="1" x14ac:dyDescent="0.3">
      <c r="B17" s="8" t="s">
        <v>62</v>
      </c>
      <c r="C17" s="9">
        <v>0</v>
      </c>
      <c r="D17" s="10">
        <f t="shared" si="2"/>
        <v>0</v>
      </c>
      <c r="E17" s="9">
        <f>МКД!L8</f>
        <v>0</v>
      </c>
      <c r="F17" s="10">
        <f t="shared" si="3"/>
        <v>0</v>
      </c>
      <c r="G17" s="17"/>
      <c r="H17" s="17"/>
    </row>
    <row r="18" spans="2:8" ht="30.75" thickBot="1" x14ac:dyDescent="0.3">
      <c r="B18" s="8" t="s">
        <v>55</v>
      </c>
      <c r="C18" s="9">
        <v>0</v>
      </c>
      <c r="D18" s="10">
        <f t="shared" si="2"/>
        <v>0</v>
      </c>
      <c r="E18" s="9">
        <f>МКД!M8</f>
        <v>0</v>
      </c>
      <c r="F18" s="10">
        <f t="shared" si="3"/>
        <v>0</v>
      </c>
    </row>
    <row r="19" spans="2:8" ht="30.75" thickBot="1" x14ac:dyDescent="0.3">
      <c r="B19" s="8" t="s">
        <v>56</v>
      </c>
      <c r="C19" s="9">
        <v>0</v>
      </c>
      <c r="D19" s="10">
        <f t="shared" si="2"/>
        <v>0</v>
      </c>
      <c r="E19" s="9">
        <f>МКД!N8</f>
        <v>0</v>
      </c>
      <c r="F19" s="10">
        <f t="shared" si="3"/>
        <v>0</v>
      </c>
      <c r="G19" s="14"/>
      <c r="H19" s="14"/>
    </row>
    <row r="20" spans="2:8" ht="30.75" thickBot="1" x14ac:dyDescent="0.3">
      <c r="B20" s="8" t="s">
        <v>57</v>
      </c>
      <c r="C20" s="9">
        <v>0</v>
      </c>
      <c r="D20" s="10">
        <f t="shared" si="2"/>
        <v>0</v>
      </c>
      <c r="E20" s="9">
        <f>МКД!O8</f>
        <v>0</v>
      </c>
      <c r="F20" s="10">
        <f t="shared" si="3"/>
        <v>0</v>
      </c>
      <c r="G20" s="14"/>
      <c r="H20" s="14"/>
    </row>
    <row r="21" spans="2:8" ht="60.75" thickBot="1" x14ac:dyDescent="0.3">
      <c r="B21" s="8" t="s">
        <v>43</v>
      </c>
      <c r="C21" s="9">
        <v>0</v>
      </c>
      <c r="D21" s="10">
        <f t="shared" si="2"/>
        <v>0</v>
      </c>
      <c r="E21" s="9">
        <f>МКД!P8</f>
        <v>0</v>
      </c>
      <c r="F21" s="10">
        <f t="shared" si="3"/>
        <v>0</v>
      </c>
      <c r="G21" s="14"/>
      <c r="H21" s="14"/>
    </row>
    <row r="22" spans="2:8" ht="15.75" thickBot="1" x14ac:dyDescent="0.3">
      <c r="B22" s="73" t="s">
        <v>8</v>
      </c>
      <c r="C22" s="74"/>
      <c r="D22" s="74"/>
      <c r="E22" s="74"/>
      <c r="F22" s="74"/>
      <c r="G22" s="4" t="s">
        <v>65</v>
      </c>
      <c r="H22" s="5" t="s">
        <v>68</v>
      </c>
    </row>
    <row r="23" spans="2:8" ht="30.75" thickBot="1" x14ac:dyDescent="0.3">
      <c r="B23" s="8" t="s">
        <v>58</v>
      </c>
      <c r="C23" s="9">
        <v>0</v>
      </c>
      <c r="D23" s="10">
        <f>IFERROR(C23/$G$24*100,0)</f>
        <v>0</v>
      </c>
      <c r="E23" s="9" t="e">
        <f>#REF!</f>
        <v>#REF!</v>
      </c>
      <c r="F23" s="11">
        <f>IFERROR(E23/$H$24*100,0)</f>
        <v>0</v>
      </c>
      <c r="G23" s="6"/>
      <c r="H23" s="7">
        <f>'Таблица 1'!C6</f>
        <v>0</v>
      </c>
    </row>
    <row r="24" spans="2:8" ht="30.75" thickBot="1" x14ac:dyDescent="0.3">
      <c r="B24" s="8" t="s">
        <v>59</v>
      </c>
      <c r="C24" s="9">
        <v>0</v>
      </c>
      <c r="D24" s="10">
        <f>IFERROR(C24/$G$24*100,0)</f>
        <v>0</v>
      </c>
      <c r="E24" s="9" t="e">
        <f>#REF!</f>
        <v>#REF!</v>
      </c>
      <c r="F24" s="11">
        <f>IFERROR(E24/$H$24*100,0)</f>
        <v>0</v>
      </c>
      <c r="G24" s="12">
        <f>SUM(C23:C24)</f>
        <v>0</v>
      </c>
      <c r="H24" s="13">
        <f>'Таблица 1'!H6</f>
        <v>0</v>
      </c>
    </row>
  </sheetData>
  <sheetProtection formatColumns="0" formatRows="0"/>
  <protectedRanges>
    <protectedRange sqref="B8:C13 B15:C21 B23:C24 G23 G15 G8" name="Диапазон1"/>
  </protectedRanges>
  <mergeCells count="7">
    <mergeCell ref="C5:F5"/>
    <mergeCell ref="B7:F7"/>
    <mergeCell ref="B14:F14"/>
    <mergeCell ref="B22:F22"/>
    <mergeCell ref="B2:B6"/>
    <mergeCell ref="C2:D4"/>
    <mergeCell ref="E2:F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12"/>
  <sheetViews>
    <sheetView zoomScaleNormal="100" workbookViewId="0">
      <selection activeCell="AB8" sqref="AB8"/>
    </sheetView>
  </sheetViews>
  <sheetFormatPr defaultColWidth="9.140625" defaultRowHeight="15" x14ac:dyDescent="0.25"/>
  <cols>
    <col min="1" max="1" width="9.140625" style="25"/>
    <col min="2" max="2" width="13.42578125" style="25" customWidth="1"/>
    <col min="3" max="4" width="5.7109375" style="25" customWidth="1"/>
    <col min="5" max="5" width="7.28515625" style="25" bestFit="1" customWidth="1"/>
    <col min="6" max="6" width="5.7109375" style="25" customWidth="1"/>
    <col min="7" max="7" width="7.5703125" style="25" customWidth="1"/>
    <col min="8" max="8" width="9.85546875" style="25" customWidth="1"/>
    <col min="9" max="9" width="8.85546875" style="25" customWidth="1"/>
    <col min="10" max="10" width="6.85546875" style="25" customWidth="1"/>
    <col min="11" max="11" width="9.140625" style="25" bestFit="1" customWidth="1"/>
    <col min="12" max="12" width="8.140625" style="25" bestFit="1" customWidth="1"/>
    <col min="13" max="15" width="8.140625" style="25" customWidth="1"/>
    <col min="16" max="16" width="7.5703125" style="25" customWidth="1"/>
    <col min="17" max="17" width="7.140625" style="25" customWidth="1"/>
    <col min="18" max="19" width="8.28515625" style="25" customWidth="1"/>
    <col min="20" max="20" width="8" style="25" customWidth="1"/>
    <col min="21" max="21" width="7.42578125" style="25" customWidth="1"/>
    <col min="22" max="22" width="6.28515625" style="25" customWidth="1"/>
    <col min="23" max="24" width="6.140625" style="25" customWidth="1"/>
    <col min="25" max="25" width="7.28515625" style="25" bestFit="1" customWidth="1"/>
    <col min="26" max="27" width="7.28515625" style="25" customWidth="1"/>
    <col min="28" max="28" width="7.28515625" style="25" bestFit="1" customWidth="1"/>
    <col min="29" max="16384" width="9.140625" style="25"/>
  </cols>
  <sheetData>
    <row r="1" spans="2:28" ht="15.75" thickBot="1" x14ac:dyDescent="0.3"/>
    <row r="2" spans="2:28" ht="15.75" customHeight="1" thickBot="1" x14ac:dyDescent="0.3">
      <c r="B2" s="103" t="s">
        <v>10</v>
      </c>
      <c r="C2" s="94" t="s">
        <v>11</v>
      </c>
      <c r="D2" s="97" t="s">
        <v>12</v>
      </c>
      <c r="E2" s="100" t="s">
        <v>13</v>
      </c>
      <c r="F2" s="87" t="s">
        <v>14</v>
      </c>
      <c r="G2" s="100" t="s">
        <v>13</v>
      </c>
      <c r="H2" s="87" t="s">
        <v>15</v>
      </c>
      <c r="I2" s="90" t="s">
        <v>16</v>
      </c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2:28" ht="103.5" customHeight="1" thickBot="1" x14ac:dyDescent="0.3">
      <c r="B3" s="104"/>
      <c r="C3" s="95"/>
      <c r="D3" s="98"/>
      <c r="E3" s="101"/>
      <c r="F3" s="89"/>
      <c r="G3" s="101"/>
      <c r="H3" s="89"/>
      <c r="I3" s="87" t="s">
        <v>17</v>
      </c>
      <c r="J3" s="84" t="s">
        <v>18</v>
      </c>
      <c r="K3" s="85"/>
      <c r="L3" s="85"/>
      <c r="M3" s="85"/>
      <c r="N3" s="85"/>
      <c r="O3" s="85"/>
      <c r="P3" s="87" t="s">
        <v>19</v>
      </c>
      <c r="Q3" s="84" t="s">
        <v>18</v>
      </c>
      <c r="R3" s="85"/>
      <c r="S3" s="85"/>
      <c r="T3" s="86"/>
      <c r="U3" s="87" t="s">
        <v>20</v>
      </c>
      <c r="V3" s="84" t="s">
        <v>18</v>
      </c>
      <c r="W3" s="85"/>
      <c r="X3" s="85"/>
      <c r="Y3" s="86"/>
      <c r="Z3" s="87" t="s">
        <v>21</v>
      </c>
      <c r="AA3" s="87" t="s">
        <v>76</v>
      </c>
      <c r="AB3" s="87" t="s">
        <v>75</v>
      </c>
    </row>
    <row r="4" spans="2:28" ht="105" thickBot="1" x14ac:dyDescent="0.3">
      <c r="B4" s="104"/>
      <c r="C4" s="95"/>
      <c r="D4" s="98"/>
      <c r="E4" s="101"/>
      <c r="F4" s="89"/>
      <c r="G4" s="101"/>
      <c r="H4" s="89"/>
      <c r="I4" s="89"/>
      <c r="J4" s="44" t="s">
        <v>22</v>
      </c>
      <c r="K4" s="44" t="s">
        <v>83</v>
      </c>
      <c r="L4" s="44" t="s">
        <v>38</v>
      </c>
      <c r="M4" s="44" t="s">
        <v>39</v>
      </c>
      <c r="N4" s="44" t="s">
        <v>74</v>
      </c>
      <c r="O4" s="44" t="s">
        <v>50</v>
      </c>
      <c r="P4" s="89"/>
      <c r="Q4" s="44" t="s">
        <v>40</v>
      </c>
      <c r="R4" s="45" t="s">
        <v>24</v>
      </c>
      <c r="S4" s="45" t="s">
        <v>25</v>
      </c>
      <c r="T4" s="44" t="s">
        <v>50</v>
      </c>
      <c r="U4" s="88"/>
      <c r="V4" s="44" t="s">
        <v>40</v>
      </c>
      <c r="W4" s="45" t="s">
        <v>24</v>
      </c>
      <c r="X4" s="45" t="s">
        <v>25</v>
      </c>
      <c r="Y4" s="44" t="s">
        <v>50</v>
      </c>
      <c r="Z4" s="88"/>
      <c r="AA4" s="88"/>
      <c r="AB4" s="88"/>
    </row>
    <row r="5" spans="2:28" ht="15.75" thickBot="1" x14ac:dyDescent="0.3">
      <c r="B5" s="105"/>
      <c r="C5" s="96"/>
      <c r="D5" s="99"/>
      <c r="E5" s="102"/>
      <c r="F5" s="88"/>
      <c r="G5" s="102"/>
      <c r="H5" s="88"/>
      <c r="I5" s="88"/>
      <c r="J5" s="46" t="s">
        <v>26</v>
      </c>
      <c r="K5" s="46" t="s">
        <v>26</v>
      </c>
      <c r="L5" s="46" t="s">
        <v>26</v>
      </c>
      <c r="M5" s="46" t="s">
        <v>26</v>
      </c>
      <c r="N5" s="46" t="s">
        <v>26</v>
      </c>
      <c r="O5" s="46"/>
      <c r="P5" s="88"/>
      <c r="Q5" s="46" t="s">
        <v>26</v>
      </c>
      <c r="R5" s="46" t="s">
        <v>26</v>
      </c>
      <c r="S5" s="46" t="s">
        <v>26</v>
      </c>
      <c r="T5" s="46" t="s">
        <v>26</v>
      </c>
      <c r="U5" s="47"/>
      <c r="V5" s="46" t="s">
        <v>26</v>
      </c>
      <c r="W5" s="46" t="s">
        <v>26</v>
      </c>
      <c r="X5" s="46" t="s">
        <v>26</v>
      </c>
      <c r="Y5" s="46" t="s">
        <v>26</v>
      </c>
      <c r="Z5" s="48" t="s">
        <v>26</v>
      </c>
      <c r="AA5" s="48" t="s">
        <v>26</v>
      </c>
      <c r="AB5" s="48" t="s">
        <v>26</v>
      </c>
    </row>
    <row r="6" spans="2:28" ht="15.75" thickBot="1" x14ac:dyDescent="0.3">
      <c r="B6" s="49">
        <v>1</v>
      </c>
      <c r="C6" s="50">
        <v>2</v>
      </c>
      <c r="D6" s="51">
        <v>3</v>
      </c>
      <c r="E6" s="51">
        <v>4</v>
      </c>
      <c r="F6" s="41">
        <v>5</v>
      </c>
      <c r="G6" s="51">
        <v>6</v>
      </c>
      <c r="H6" s="41">
        <v>7</v>
      </c>
      <c r="I6" s="41">
        <v>8</v>
      </c>
      <c r="J6" s="52">
        <v>9</v>
      </c>
      <c r="K6" s="52">
        <v>10</v>
      </c>
      <c r="L6" s="52">
        <v>11</v>
      </c>
      <c r="M6" s="52">
        <v>12</v>
      </c>
      <c r="N6" s="52">
        <v>13</v>
      </c>
      <c r="O6" s="52">
        <v>14</v>
      </c>
      <c r="P6" s="41">
        <v>16</v>
      </c>
      <c r="Q6" s="52">
        <v>17</v>
      </c>
      <c r="R6" s="52">
        <v>19</v>
      </c>
      <c r="S6" s="52">
        <v>20</v>
      </c>
      <c r="T6" s="52">
        <v>21</v>
      </c>
      <c r="U6" s="41">
        <v>22</v>
      </c>
      <c r="V6" s="52">
        <v>23</v>
      </c>
      <c r="W6" s="52">
        <v>24</v>
      </c>
      <c r="X6" s="52">
        <v>25</v>
      </c>
      <c r="Y6" s="52">
        <v>26</v>
      </c>
      <c r="Z6" s="41">
        <v>27</v>
      </c>
      <c r="AA6" s="41">
        <v>28</v>
      </c>
      <c r="AB6" s="41">
        <v>30</v>
      </c>
    </row>
    <row r="7" spans="2:28" ht="15.75" thickBot="1" x14ac:dyDescent="0.3">
      <c r="B7" s="35" t="s">
        <v>84</v>
      </c>
      <c r="C7" s="32">
        <v>0</v>
      </c>
      <c r="D7" s="34">
        <v>0</v>
      </c>
      <c r="E7" s="39">
        <f>IFERROR(D7/C7,0)</f>
        <v>0</v>
      </c>
      <c r="F7" s="36">
        <v>0</v>
      </c>
      <c r="G7" s="40">
        <f>IFERROR(F7/D7*100,0)</f>
        <v>0</v>
      </c>
      <c r="H7" s="41">
        <f>SUM(I7,P7,U7,Z7:AB7)</f>
        <v>0</v>
      </c>
      <c r="I7" s="41">
        <f>SUM(J7:O7)</f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41">
        <f>SUM(Q7:T7)</f>
        <v>0</v>
      </c>
      <c r="Q7" s="32">
        <v>0</v>
      </c>
      <c r="R7" s="32">
        <v>0</v>
      </c>
      <c r="S7" s="32">
        <v>0</v>
      </c>
      <c r="T7" s="32">
        <v>0</v>
      </c>
      <c r="U7" s="41">
        <f>SUM(V7:Y7)</f>
        <v>0</v>
      </c>
      <c r="V7" s="32">
        <v>0</v>
      </c>
      <c r="W7" s="32">
        <v>0</v>
      </c>
      <c r="X7" s="32">
        <v>0</v>
      </c>
      <c r="Y7" s="32">
        <v>0</v>
      </c>
      <c r="Z7" s="33">
        <v>0</v>
      </c>
      <c r="AA7" s="33">
        <v>0</v>
      </c>
      <c r="AB7" s="41">
        <v>0</v>
      </c>
    </row>
    <row r="8" spans="2:28" ht="26.25" customHeight="1" thickBot="1" x14ac:dyDescent="0.3">
      <c r="B8" s="92" t="s">
        <v>81</v>
      </c>
      <c r="C8" s="93"/>
      <c r="D8" s="93"/>
      <c r="E8" s="93"/>
      <c r="F8" s="93"/>
      <c r="G8" s="93"/>
      <c r="H8" s="42">
        <f>IFERROR((H7/H7)*100,0)</f>
        <v>0</v>
      </c>
      <c r="I8" s="43">
        <f>IFERROR(ROUND(I7/$H$7,4)*100,0)</f>
        <v>0</v>
      </c>
      <c r="J8" s="43">
        <f>IFERROR(ROUND(J7/$H$7,4)*100,0)</f>
        <v>0</v>
      </c>
      <c r="K8" s="43">
        <f t="shared" ref="K8:Y8" si="0">IFERROR(ROUND(K7/$H$7,4)*100,0)</f>
        <v>0</v>
      </c>
      <c r="L8" s="43">
        <f t="shared" si="0"/>
        <v>0</v>
      </c>
      <c r="M8" s="43">
        <f t="shared" si="0"/>
        <v>0</v>
      </c>
      <c r="N8" s="43">
        <f t="shared" si="0"/>
        <v>0</v>
      </c>
      <c r="O8" s="43">
        <f t="shared" ref="O8" si="1">IFERROR(ROUND(O7/$H$7,4)*100,0)</f>
        <v>0</v>
      </c>
      <c r="P8" s="43">
        <f t="shared" si="0"/>
        <v>0</v>
      </c>
      <c r="Q8" s="43">
        <f t="shared" si="0"/>
        <v>0</v>
      </c>
      <c r="R8" s="43">
        <f t="shared" si="0"/>
        <v>0</v>
      </c>
      <c r="S8" s="43">
        <f t="shared" si="0"/>
        <v>0</v>
      </c>
      <c r="T8" s="43">
        <f t="shared" si="0"/>
        <v>0</v>
      </c>
      <c r="U8" s="43">
        <f t="shared" si="0"/>
        <v>0</v>
      </c>
      <c r="V8" s="43">
        <f t="shared" si="0"/>
        <v>0</v>
      </c>
      <c r="W8" s="43">
        <f t="shared" si="0"/>
        <v>0</v>
      </c>
      <c r="X8" s="43">
        <f t="shared" si="0"/>
        <v>0</v>
      </c>
      <c r="Y8" s="43">
        <f t="shared" si="0"/>
        <v>0</v>
      </c>
      <c r="Z8" s="43">
        <f t="shared" ref="Z8:AB8" si="2">IFERROR(ROUND(Z7/$H$7,4)*100,0)</f>
        <v>0</v>
      </c>
      <c r="AA8" s="43">
        <f t="shared" si="2"/>
        <v>0</v>
      </c>
      <c r="AB8" s="43">
        <f t="shared" si="2"/>
        <v>0</v>
      </c>
    </row>
    <row r="9" spans="2:28" ht="11.25" customHeight="1" x14ac:dyDescent="0.2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2" spans="2:28" x14ac:dyDescent="0.25">
      <c r="I12" s="38"/>
    </row>
  </sheetData>
  <sheetProtection formatCells="0" formatColumns="0" formatRows="0" insertColumns="0" insertRows="0" autoFilter="0"/>
  <protectedRanges>
    <protectedRange algorithmName="SHA-512" hashValue="Uzcw2gkwAJ8/k+jYw5w4wQg/9izr/xKsqC4u+ZphcmS6Y3WHHaKsGQRlUbTVmZ/9D8H1GKFzBCp87jyJJKhGtg==" saltValue="tMUpKGJKZgydZ8BaW2rtkQ==" spinCount="100000" sqref="AC1:XFD1048576 P1:AA1048576 AB1:AB1048576 A1:O1048576" name="Диапазон1" securityDescriptor="O:WDG:WDD:(A;;CC;;;S-1-5-21-2537963998-199366300-876727161-13918)"/>
  </protectedRanges>
  <mergeCells count="18">
    <mergeCell ref="B8:G8"/>
    <mergeCell ref="C2:C5"/>
    <mergeCell ref="D2:D5"/>
    <mergeCell ref="E2:E5"/>
    <mergeCell ref="F2:F5"/>
    <mergeCell ref="B2:B5"/>
    <mergeCell ref="G2:G5"/>
    <mergeCell ref="V3:Y3"/>
    <mergeCell ref="AB3:AB4"/>
    <mergeCell ref="H2:H5"/>
    <mergeCell ref="I3:I5"/>
    <mergeCell ref="J3:O3"/>
    <mergeCell ref="P3:P5"/>
    <mergeCell ref="Q3:T3"/>
    <mergeCell ref="U3:U4"/>
    <mergeCell ref="Z3:Z4"/>
    <mergeCell ref="AA3:AA4"/>
    <mergeCell ref="I2:AB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9"/>
  <sheetViews>
    <sheetView zoomScaleNormal="100" workbookViewId="0">
      <selection activeCell="P9" sqref="P9"/>
    </sheetView>
  </sheetViews>
  <sheetFormatPr defaultRowHeight="15" x14ac:dyDescent="0.25"/>
  <cols>
    <col min="1" max="1" width="9.140625" style="19"/>
    <col min="2" max="2" width="12.28515625" style="19" customWidth="1"/>
    <col min="3" max="3" width="11.5703125" style="19" customWidth="1"/>
    <col min="4" max="4" width="12" style="19" customWidth="1"/>
    <col min="5" max="5" width="7.140625" style="19" customWidth="1"/>
    <col min="6" max="6" width="12.42578125" style="19" customWidth="1"/>
    <col min="7" max="7" width="7.140625" style="19" customWidth="1"/>
    <col min="8" max="8" width="11.7109375" style="19" customWidth="1"/>
    <col min="9" max="9" width="9.42578125" style="19" customWidth="1"/>
    <col min="10" max="10" width="9.28515625" style="19" customWidth="1"/>
    <col min="11" max="11" width="10.5703125" style="19" customWidth="1"/>
    <col min="12" max="14" width="7.140625" style="19" customWidth="1"/>
    <col min="15" max="16384" width="9.140625" style="19"/>
  </cols>
  <sheetData>
    <row r="1" spans="2:16" ht="15.75" thickBot="1" x14ac:dyDescent="0.3"/>
    <row r="2" spans="2:16" ht="15.75" thickBot="1" x14ac:dyDescent="0.3">
      <c r="B2" s="111" t="s">
        <v>10</v>
      </c>
      <c r="C2" s="103" t="s">
        <v>27</v>
      </c>
      <c r="D2" s="103" t="s">
        <v>28</v>
      </c>
      <c r="E2" s="103" t="s">
        <v>13</v>
      </c>
      <c r="F2" s="114" t="s">
        <v>29</v>
      </c>
      <c r="G2" s="103" t="s">
        <v>13</v>
      </c>
      <c r="H2" s="114" t="s">
        <v>15</v>
      </c>
      <c r="I2" s="119" t="s">
        <v>16</v>
      </c>
      <c r="J2" s="120"/>
      <c r="K2" s="120"/>
      <c r="L2" s="120"/>
      <c r="M2" s="120"/>
      <c r="N2" s="120"/>
      <c r="O2" s="120"/>
      <c r="P2" s="121"/>
    </row>
    <row r="3" spans="2:16" ht="75.75" customHeight="1" thickBot="1" x14ac:dyDescent="0.3">
      <c r="B3" s="112"/>
      <c r="C3" s="104"/>
      <c r="D3" s="104"/>
      <c r="E3" s="104"/>
      <c r="F3" s="115"/>
      <c r="G3" s="104"/>
      <c r="H3" s="115"/>
      <c r="I3" s="108" t="s">
        <v>30</v>
      </c>
      <c r="J3" s="117" t="s">
        <v>18</v>
      </c>
      <c r="K3" s="118"/>
      <c r="L3" s="108" t="s">
        <v>31</v>
      </c>
      <c r="M3" s="108" t="s">
        <v>32</v>
      </c>
      <c r="N3" s="108" t="s">
        <v>33</v>
      </c>
      <c r="O3" s="108" t="s">
        <v>34</v>
      </c>
      <c r="P3" s="108" t="s">
        <v>43</v>
      </c>
    </row>
    <row r="4" spans="2:16" ht="105" customHeight="1" x14ac:dyDescent="0.25">
      <c r="B4" s="112"/>
      <c r="C4" s="104"/>
      <c r="D4" s="104"/>
      <c r="E4" s="104"/>
      <c r="F4" s="115"/>
      <c r="G4" s="104"/>
      <c r="H4" s="115"/>
      <c r="I4" s="109"/>
      <c r="J4" s="122" t="s">
        <v>41</v>
      </c>
      <c r="K4" s="122" t="s">
        <v>42</v>
      </c>
      <c r="L4" s="109"/>
      <c r="M4" s="109"/>
      <c r="N4" s="109"/>
      <c r="O4" s="109"/>
      <c r="P4" s="109"/>
    </row>
    <row r="5" spans="2:16" ht="128.25" customHeight="1" thickBot="1" x14ac:dyDescent="0.3">
      <c r="B5" s="112"/>
      <c r="C5" s="104"/>
      <c r="D5" s="104"/>
      <c r="E5" s="104"/>
      <c r="F5" s="115"/>
      <c r="G5" s="104"/>
      <c r="H5" s="115"/>
      <c r="I5" s="110"/>
      <c r="J5" s="123"/>
      <c r="K5" s="123"/>
      <c r="L5" s="110"/>
      <c r="M5" s="110"/>
      <c r="N5" s="110"/>
      <c r="O5" s="110"/>
      <c r="P5" s="110"/>
    </row>
    <row r="6" spans="2:16" ht="15.75" thickBot="1" x14ac:dyDescent="0.3">
      <c r="B6" s="113"/>
      <c r="C6" s="105"/>
      <c r="D6" s="105"/>
      <c r="E6" s="105"/>
      <c r="F6" s="116"/>
      <c r="G6" s="105"/>
      <c r="H6" s="116"/>
      <c r="I6" s="59" t="s">
        <v>26</v>
      </c>
      <c r="J6" s="64" t="s">
        <v>26</v>
      </c>
      <c r="K6" s="64" t="s">
        <v>26</v>
      </c>
      <c r="L6" s="59" t="s">
        <v>26</v>
      </c>
      <c r="M6" s="59" t="s">
        <v>26</v>
      </c>
      <c r="N6" s="59" t="s">
        <v>26</v>
      </c>
      <c r="O6" s="59" t="s">
        <v>26</v>
      </c>
      <c r="P6" s="59" t="s">
        <v>26</v>
      </c>
    </row>
    <row r="7" spans="2:16" ht="15.75" thickBot="1" x14ac:dyDescent="0.3">
      <c r="B7" s="49">
        <v>1</v>
      </c>
      <c r="C7" s="64">
        <v>2</v>
      </c>
      <c r="D7" s="64">
        <v>3</v>
      </c>
      <c r="E7" s="64">
        <v>4</v>
      </c>
      <c r="F7" s="59">
        <v>5</v>
      </c>
      <c r="G7" s="64">
        <v>6</v>
      </c>
      <c r="H7" s="59">
        <v>7</v>
      </c>
      <c r="I7" s="59">
        <v>8</v>
      </c>
      <c r="J7" s="64">
        <v>9</v>
      </c>
      <c r="K7" s="65">
        <v>10</v>
      </c>
      <c r="L7" s="59">
        <v>12</v>
      </c>
      <c r="M7" s="59">
        <v>13</v>
      </c>
      <c r="N7" s="59">
        <v>14</v>
      </c>
      <c r="O7" s="59">
        <v>15</v>
      </c>
      <c r="P7" s="59">
        <v>16</v>
      </c>
    </row>
    <row r="8" spans="2:16" ht="15.75" thickBot="1" x14ac:dyDescent="0.3">
      <c r="B8" s="63" t="s">
        <v>10</v>
      </c>
      <c r="C8" s="54">
        <v>0</v>
      </c>
      <c r="D8" s="54">
        <v>0</v>
      </c>
      <c r="E8" s="57">
        <f>IFERROR(D8/C8,0)</f>
        <v>0</v>
      </c>
      <c r="F8" s="53">
        <v>0</v>
      </c>
      <c r="G8" s="58">
        <f>IFERROR(F8/D8*100,0)</f>
        <v>0</v>
      </c>
      <c r="H8" s="59">
        <f>SUM(I8,L8:P8)</f>
        <v>0</v>
      </c>
      <c r="I8" s="60">
        <f>J8+K8</f>
        <v>0</v>
      </c>
      <c r="J8" s="54">
        <v>0</v>
      </c>
      <c r="K8" s="56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</row>
    <row r="9" spans="2:16" ht="26.25" customHeight="1" thickBot="1" x14ac:dyDescent="0.3">
      <c r="B9" s="106" t="s">
        <v>44</v>
      </c>
      <c r="C9" s="107"/>
      <c r="D9" s="107"/>
      <c r="E9" s="107"/>
      <c r="F9" s="107"/>
      <c r="G9" s="107"/>
      <c r="H9" s="61">
        <f>IFERROR((H8/H8)*100,0)</f>
        <v>0</v>
      </c>
      <c r="I9" s="61">
        <f>IFERROR(ROUND(I8/$H$8,4)*100,0)</f>
        <v>0</v>
      </c>
      <c r="J9" s="62">
        <f t="shared" ref="J9:P9" si="0">IFERROR(ROUND(J8/$H$8,4)*100,0)</f>
        <v>0</v>
      </c>
      <c r="K9" s="62">
        <f t="shared" si="0"/>
        <v>0</v>
      </c>
      <c r="L9" s="62">
        <f t="shared" si="0"/>
        <v>0</v>
      </c>
      <c r="M9" s="62">
        <f t="shared" si="0"/>
        <v>0</v>
      </c>
      <c r="N9" s="62">
        <f t="shared" si="0"/>
        <v>0</v>
      </c>
      <c r="O9" s="62">
        <f t="shared" si="0"/>
        <v>0</v>
      </c>
      <c r="P9" s="62">
        <f t="shared" si="0"/>
        <v>0</v>
      </c>
    </row>
  </sheetData>
  <sheetProtection formatCells="0" formatColumns="0" formatRows="0"/>
  <protectedRanges>
    <protectedRange algorithmName="SHA-512" hashValue="lAsUIKsZnR288+CyzVKRSPp3Wom2IkDbnKkiT/bc0c1U8OBKrqjeMzjVfgreUO8jy5xkZXp3/IJl2hJ63xPUkA==" saltValue="HS8QexsQYgomn2FLec75JA==" spinCount="100000" sqref="A1:XFD1048576" name="Диапазон1" securityDescriptor="O:WDG:WDD:(A;;CC;;;S-1-5-21-2537963998-199366300-876727161-13918)"/>
  </protectedRanges>
  <mergeCells count="18">
    <mergeCell ref="P3:P5"/>
    <mergeCell ref="M3:M5"/>
    <mergeCell ref="N3:N5"/>
    <mergeCell ref="I3:I5"/>
    <mergeCell ref="G2:G6"/>
    <mergeCell ref="H2:H6"/>
    <mergeCell ref="J3:K3"/>
    <mergeCell ref="I2:P2"/>
    <mergeCell ref="J4:J5"/>
    <mergeCell ref="K4:K5"/>
    <mergeCell ref="B9:G9"/>
    <mergeCell ref="O3:O5"/>
    <mergeCell ref="L3:L5"/>
    <mergeCell ref="B2:B6"/>
    <mergeCell ref="C2:C6"/>
    <mergeCell ref="D2:D6"/>
    <mergeCell ref="E2:E6"/>
    <mergeCell ref="F2:F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11"/>
  <sheetViews>
    <sheetView zoomScaleNormal="100" workbookViewId="0">
      <selection activeCell="S8" sqref="S8"/>
    </sheetView>
  </sheetViews>
  <sheetFormatPr defaultColWidth="9.140625" defaultRowHeight="15" x14ac:dyDescent="0.25"/>
  <cols>
    <col min="1" max="1" width="9.140625" style="25"/>
    <col min="2" max="2" width="13.42578125" style="25" customWidth="1"/>
    <col min="3" max="4" width="5.7109375" style="25" customWidth="1"/>
    <col min="5" max="5" width="7.28515625" style="25" bestFit="1" customWidth="1"/>
    <col min="6" max="6" width="5.7109375" style="25" customWidth="1"/>
    <col min="7" max="7" width="7.5703125" style="25" customWidth="1"/>
    <col min="8" max="8" width="9.85546875" style="25" customWidth="1"/>
    <col min="9" max="9" width="8.85546875" style="25" customWidth="1"/>
    <col min="10" max="10" width="6.85546875" style="25" customWidth="1"/>
    <col min="11" max="11" width="9.140625" style="25" bestFit="1" customWidth="1"/>
    <col min="12" max="12" width="8.140625" style="25" bestFit="1" customWidth="1"/>
    <col min="13" max="13" width="8.140625" style="25" customWidth="1"/>
    <col min="14" max="14" width="8.140625" style="25" bestFit="1" customWidth="1"/>
    <col min="15" max="15" width="10.5703125" style="25" bestFit="1" customWidth="1"/>
    <col min="16" max="16" width="6.85546875" style="25" customWidth="1"/>
    <col min="17" max="17" width="9.140625" style="25" bestFit="1" customWidth="1"/>
    <col min="18" max="19" width="10.5703125" style="25" bestFit="1" customWidth="1"/>
    <col min="20" max="16384" width="9.140625" style="25"/>
  </cols>
  <sheetData>
    <row r="1" spans="2:19" ht="15.75" thickBot="1" x14ac:dyDescent="0.3"/>
    <row r="2" spans="2:19" ht="15.75" customHeight="1" thickBot="1" x14ac:dyDescent="0.3">
      <c r="B2" s="130" t="s">
        <v>10</v>
      </c>
      <c r="C2" s="133" t="s">
        <v>35</v>
      </c>
      <c r="D2" s="136" t="s">
        <v>36</v>
      </c>
      <c r="E2" s="139" t="s">
        <v>13</v>
      </c>
      <c r="F2" s="124" t="s">
        <v>37</v>
      </c>
      <c r="G2" s="139" t="s">
        <v>13</v>
      </c>
      <c r="H2" s="124" t="s">
        <v>15</v>
      </c>
      <c r="I2" s="142" t="s">
        <v>16</v>
      </c>
      <c r="J2" s="143"/>
      <c r="K2" s="143"/>
      <c r="L2" s="143"/>
      <c r="M2" s="143"/>
      <c r="N2" s="143"/>
      <c r="O2" s="143"/>
      <c r="P2" s="143"/>
      <c r="Q2" s="143"/>
      <c r="R2" s="143"/>
      <c r="S2" s="144"/>
    </row>
    <row r="3" spans="2:19" ht="103.5" customHeight="1" thickBot="1" x14ac:dyDescent="0.3">
      <c r="B3" s="131"/>
      <c r="C3" s="134"/>
      <c r="D3" s="137"/>
      <c r="E3" s="140"/>
      <c r="F3" s="125"/>
      <c r="G3" s="140"/>
      <c r="H3" s="125"/>
      <c r="I3" s="124" t="s">
        <v>17</v>
      </c>
      <c r="J3" s="127" t="s">
        <v>18</v>
      </c>
      <c r="K3" s="128"/>
      <c r="L3" s="128"/>
      <c r="M3" s="128"/>
      <c r="N3" s="129"/>
      <c r="O3" s="124" t="s">
        <v>85</v>
      </c>
      <c r="P3" s="122" t="s">
        <v>86</v>
      </c>
      <c r="Q3" s="122" t="s">
        <v>87</v>
      </c>
      <c r="R3" s="124" t="s">
        <v>88</v>
      </c>
      <c r="S3" s="124" t="s">
        <v>82</v>
      </c>
    </row>
    <row r="4" spans="2:19" ht="105" thickBot="1" x14ac:dyDescent="0.3">
      <c r="B4" s="131"/>
      <c r="C4" s="134"/>
      <c r="D4" s="137"/>
      <c r="E4" s="140"/>
      <c r="F4" s="125"/>
      <c r="G4" s="140"/>
      <c r="H4" s="125"/>
      <c r="I4" s="125"/>
      <c r="J4" s="26" t="s">
        <v>22</v>
      </c>
      <c r="K4" s="26" t="s">
        <v>23</v>
      </c>
      <c r="L4" s="26" t="s">
        <v>38</v>
      </c>
      <c r="M4" s="26" t="s">
        <v>39</v>
      </c>
      <c r="N4" s="26" t="s">
        <v>50</v>
      </c>
      <c r="O4" s="126"/>
      <c r="P4" s="123"/>
      <c r="Q4" s="123"/>
      <c r="R4" s="126"/>
      <c r="S4" s="126"/>
    </row>
    <row r="5" spans="2:19" ht="15.75" thickBot="1" x14ac:dyDescent="0.3">
      <c r="B5" s="132"/>
      <c r="C5" s="135"/>
      <c r="D5" s="138"/>
      <c r="E5" s="141"/>
      <c r="F5" s="126"/>
      <c r="G5" s="141"/>
      <c r="H5" s="126"/>
      <c r="I5" s="126"/>
      <c r="J5" s="28" t="s">
        <v>26</v>
      </c>
      <c r="K5" s="28" t="s">
        <v>26</v>
      </c>
      <c r="L5" s="28" t="s">
        <v>26</v>
      </c>
      <c r="M5" s="28" t="s">
        <v>26</v>
      </c>
      <c r="N5" s="28" t="s">
        <v>26</v>
      </c>
      <c r="O5" s="30" t="s">
        <v>26</v>
      </c>
      <c r="P5" s="28" t="s">
        <v>26</v>
      </c>
      <c r="Q5" s="28" t="s">
        <v>26</v>
      </c>
      <c r="R5" s="30" t="s">
        <v>26</v>
      </c>
      <c r="S5" s="30" t="s">
        <v>26</v>
      </c>
    </row>
    <row r="6" spans="2:19" ht="15.75" thickBot="1" x14ac:dyDescent="0.3">
      <c r="B6" s="63">
        <v>1</v>
      </c>
      <c r="C6" s="31">
        <v>2</v>
      </c>
      <c r="D6" s="32">
        <v>3</v>
      </c>
      <c r="E6" s="32">
        <v>4</v>
      </c>
      <c r="F6" s="33">
        <v>5</v>
      </c>
      <c r="G6" s="32">
        <v>6</v>
      </c>
      <c r="H6" s="33">
        <v>7</v>
      </c>
      <c r="I6" s="33">
        <v>8</v>
      </c>
      <c r="J6" s="34">
        <v>9</v>
      </c>
      <c r="K6" s="34">
        <v>10</v>
      </c>
      <c r="L6" s="34">
        <v>11</v>
      </c>
      <c r="M6" s="34">
        <v>12</v>
      </c>
      <c r="N6" s="34">
        <v>13</v>
      </c>
      <c r="O6" s="33">
        <v>14</v>
      </c>
      <c r="P6" s="34">
        <v>15</v>
      </c>
      <c r="Q6" s="34">
        <v>16</v>
      </c>
      <c r="R6" s="33">
        <v>17</v>
      </c>
      <c r="S6" s="33">
        <v>19</v>
      </c>
    </row>
    <row r="7" spans="2:19" ht="15.75" thickBot="1" x14ac:dyDescent="0.3">
      <c r="B7" s="35" t="s">
        <v>10</v>
      </c>
      <c r="C7" s="32">
        <v>0</v>
      </c>
      <c r="D7" s="34">
        <v>0</v>
      </c>
      <c r="E7" s="39">
        <f>IFERROR(D7/C7,0)</f>
        <v>0</v>
      </c>
      <c r="F7" s="36">
        <v>0</v>
      </c>
      <c r="G7" s="40">
        <f>IFERROR(F7/D7*100,0)</f>
        <v>0</v>
      </c>
      <c r="H7" s="41">
        <f>SUM(I7,O7,R7:S7)</f>
        <v>0</v>
      </c>
      <c r="I7" s="41">
        <f>SUM(J7:N7)</f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41">
        <f>SUM(P7:Q7)</f>
        <v>0</v>
      </c>
      <c r="P7" s="32">
        <v>0</v>
      </c>
      <c r="Q7" s="32">
        <v>0</v>
      </c>
      <c r="R7" s="33">
        <v>0</v>
      </c>
      <c r="S7" s="33">
        <v>0</v>
      </c>
    </row>
    <row r="8" spans="2:19" ht="26.25" customHeight="1" thickBot="1" x14ac:dyDescent="0.3">
      <c r="B8" s="92" t="s">
        <v>45</v>
      </c>
      <c r="C8" s="93"/>
      <c r="D8" s="93"/>
      <c r="E8" s="93"/>
      <c r="F8" s="93"/>
      <c r="G8" s="93"/>
      <c r="H8" s="42">
        <f>IFERROR((H7/H7)*100,0)</f>
        <v>0</v>
      </c>
      <c r="I8" s="43">
        <f>IFERROR(ROUND(I7/$H$7,4)*100,0)</f>
        <v>0</v>
      </c>
      <c r="J8" s="43">
        <f>IFERROR(ROUND(J7/$H$7,4)*100,0)</f>
        <v>0</v>
      </c>
      <c r="K8" s="43">
        <f t="shared" ref="K8:R8" si="0">IFERROR(ROUND(K7/$H$7,4)*100,0)</f>
        <v>0</v>
      </c>
      <c r="L8" s="43">
        <f t="shared" si="0"/>
        <v>0</v>
      </c>
      <c r="M8" s="43">
        <f t="shared" si="0"/>
        <v>0</v>
      </c>
      <c r="N8" s="43">
        <f t="shared" si="0"/>
        <v>0</v>
      </c>
      <c r="O8" s="43">
        <f t="shared" si="0"/>
        <v>0</v>
      </c>
      <c r="P8" s="43">
        <f>IFERROR(ROUND(P7/$H$7,4)*100,0)</f>
        <v>0</v>
      </c>
      <c r="Q8" s="43">
        <f t="shared" ref="Q8" si="1">IFERROR(ROUND(Q7/$H$7,4)*100,0)</f>
        <v>0</v>
      </c>
      <c r="R8" s="43">
        <f t="shared" si="0"/>
        <v>0</v>
      </c>
      <c r="S8" s="43">
        <f t="shared" ref="S8" si="2">IFERROR(ROUND(S7/$H$7,4)*100,0)</f>
        <v>0</v>
      </c>
    </row>
    <row r="9" spans="2:19" ht="11.25" customHeight="1" x14ac:dyDescent="0.2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</row>
    <row r="11" spans="2:19" x14ac:dyDescent="0.25">
      <c r="I11" s="38"/>
    </row>
  </sheetData>
  <sheetProtection formatCells="0" formatColumns="0" formatRows="0"/>
  <protectedRanges>
    <protectedRange algorithmName="SHA-512" hashValue="uM+yBd4NBmhp6iqyLE5AbFSP+X7d7zb0i2Bw9GNMpOawc7YaKvGBEPcN/f63M1iBdnjkh8H9LSGQe8O6lmdfwg==" saltValue="WauPd7ukFycp9e7DjPHREw==" spinCount="100000" sqref="S1:XFD5 R1:R5 A1:O1048576 P1:Q2 P5:Q1048576 R6:XFD1048576" name="Диапазон1" securityDescriptor="O:WDG:WDD:(A;;CC;;;S-1-5-21-2537963998-199366300-876727161-13918)"/>
    <protectedRange algorithmName="SHA-512" hashValue="lAsUIKsZnR288+CyzVKRSPp3Wom2IkDbnKkiT/bc0c1U8OBKrqjeMzjVfgreUO8jy5xkZXp3/IJl2hJ63xPUkA==" saltValue="HS8QexsQYgomn2FLec75JA==" spinCount="100000" sqref="P3:Q4" name="Диапазон1_2" securityDescriptor="O:WDG:WDD:(A;;CC;;;S-1-5-21-2537963998-199366300-876727161-13918)"/>
  </protectedRanges>
  <mergeCells count="16">
    <mergeCell ref="H2:H5"/>
    <mergeCell ref="I3:I5"/>
    <mergeCell ref="J3:N3"/>
    <mergeCell ref="B8:G8"/>
    <mergeCell ref="B2:B5"/>
    <mergeCell ref="C2:C5"/>
    <mergeCell ref="D2:D5"/>
    <mergeCell ref="E2:E5"/>
    <mergeCell ref="F2:F5"/>
    <mergeCell ref="G2:G5"/>
    <mergeCell ref="I2:S2"/>
    <mergeCell ref="P3:P4"/>
    <mergeCell ref="Q3:Q4"/>
    <mergeCell ref="S3:S4"/>
    <mergeCell ref="O3:O4"/>
    <mergeCell ref="R3:R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A9"/>
  <sheetViews>
    <sheetView zoomScaleNormal="100" workbookViewId="0">
      <selection activeCell="AA8" sqref="AA8"/>
    </sheetView>
  </sheetViews>
  <sheetFormatPr defaultColWidth="9.140625" defaultRowHeight="15" x14ac:dyDescent="0.25"/>
  <cols>
    <col min="1" max="1" width="9.140625" style="25"/>
    <col min="2" max="2" width="13.42578125" style="25" customWidth="1"/>
    <col min="3" max="4" width="5.7109375" style="25" customWidth="1"/>
    <col min="5" max="5" width="7.28515625" style="25" bestFit="1" customWidth="1"/>
    <col min="6" max="6" width="5.7109375" style="25" customWidth="1"/>
    <col min="7" max="7" width="7.5703125" style="25" customWidth="1"/>
    <col min="8" max="8" width="9.85546875" style="25" customWidth="1"/>
    <col min="9" max="9" width="8.85546875" style="25" customWidth="1"/>
    <col min="10" max="10" width="6.85546875" style="25" customWidth="1"/>
    <col min="11" max="11" width="9.140625" style="25" bestFit="1" customWidth="1"/>
    <col min="12" max="12" width="8.140625" style="25" bestFit="1" customWidth="1"/>
    <col min="13" max="15" width="8.140625" style="25" customWidth="1"/>
    <col min="16" max="16" width="7.5703125" style="25" customWidth="1"/>
    <col min="17" max="17" width="7.140625" style="25" customWidth="1"/>
    <col min="18" max="19" width="8.28515625" style="25" customWidth="1"/>
    <col min="20" max="20" width="8" style="25" customWidth="1"/>
    <col min="21" max="21" width="7.42578125" style="25" customWidth="1"/>
    <col min="22" max="22" width="6.28515625" style="25" customWidth="1"/>
    <col min="23" max="24" width="6.140625" style="25" customWidth="1"/>
    <col min="25" max="25" width="7.28515625" style="25" bestFit="1" customWidth="1"/>
    <col min="26" max="26" width="7.28515625" style="25" customWidth="1"/>
    <col min="27" max="27" width="7.28515625" style="25" bestFit="1" customWidth="1"/>
    <col min="28" max="28" width="8" style="25" customWidth="1"/>
    <col min="29" max="16384" width="9.140625" style="25"/>
  </cols>
  <sheetData>
    <row r="1" spans="2:27" ht="15.75" thickBot="1" x14ac:dyDescent="0.3"/>
    <row r="2" spans="2:27" ht="15.75" customHeight="1" thickBot="1" x14ac:dyDescent="0.3">
      <c r="B2" s="130" t="s">
        <v>10</v>
      </c>
      <c r="C2" s="133" t="s">
        <v>71</v>
      </c>
      <c r="D2" s="136" t="s">
        <v>73</v>
      </c>
      <c r="E2" s="139" t="s">
        <v>13</v>
      </c>
      <c r="F2" s="124" t="s">
        <v>72</v>
      </c>
      <c r="G2" s="139" t="s">
        <v>13</v>
      </c>
      <c r="H2" s="124" t="s">
        <v>15</v>
      </c>
      <c r="I2" s="142" t="s">
        <v>16</v>
      </c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</row>
    <row r="3" spans="2:27" ht="103.5" customHeight="1" thickBot="1" x14ac:dyDescent="0.3">
      <c r="B3" s="131"/>
      <c r="C3" s="134"/>
      <c r="D3" s="137"/>
      <c r="E3" s="140"/>
      <c r="F3" s="125"/>
      <c r="G3" s="140"/>
      <c r="H3" s="125"/>
      <c r="I3" s="124" t="s">
        <v>17</v>
      </c>
      <c r="J3" s="127" t="s">
        <v>18</v>
      </c>
      <c r="K3" s="128"/>
      <c r="L3" s="128"/>
      <c r="M3" s="128"/>
      <c r="N3" s="128"/>
      <c r="O3" s="128"/>
      <c r="P3" s="124" t="s">
        <v>19</v>
      </c>
      <c r="Q3" s="127" t="s">
        <v>18</v>
      </c>
      <c r="R3" s="128"/>
      <c r="S3" s="128"/>
      <c r="T3" s="129"/>
      <c r="U3" s="124" t="s">
        <v>20</v>
      </c>
      <c r="V3" s="127" t="s">
        <v>18</v>
      </c>
      <c r="W3" s="128"/>
      <c r="X3" s="128"/>
      <c r="Y3" s="129"/>
      <c r="Z3" s="124" t="s">
        <v>80</v>
      </c>
      <c r="AA3" s="87" t="s">
        <v>75</v>
      </c>
    </row>
    <row r="4" spans="2:27" ht="105" thickBot="1" x14ac:dyDescent="0.3">
      <c r="B4" s="131"/>
      <c r="C4" s="134"/>
      <c r="D4" s="137"/>
      <c r="E4" s="140"/>
      <c r="F4" s="125"/>
      <c r="G4" s="140"/>
      <c r="H4" s="125"/>
      <c r="I4" s="125"/>
      <c r="J4" s="26" t="s">
        <v>22</v>
      </c>
      <c r="K4" s="26" t="s">
        <v>83</v>
      </c>
      <c r="L4" s="26" t="s">
        <v>38</v>
      </c>
      <c r="M4" s="26" t="s">
        <v>39</v>
      </c>
      <c r="N4" s="26" t="s">
        <v>74</v>
      </c>
      <c r="O4" s="26" t="s">
        <v>77</v>
      </c>
      <c r="P4" s="125"/>
      <c r="Q4" s="26" t="s">
        <v>40</v>
      </c>
      <c r="R4" s="27" t="s">
        <v>24</v>
      </c>
      <c r="S4" s="27" t="s">
        <v>25</v>
      </c>
      <c r="T4" s="26" t="s">
        <v>78</v>
      </c>
      <c r="U4" s="126"/>
      <c r="V4" s="26" t="s">
        <v>40</v>
      </c>
      <c r="W4" s="27" t="s">
        <v>24</v>
      </c>
      <c r="X4" s="27" t="s">
        <v>25</v>
      </c>
      <c r="Y4" s="26" t="s">
        <v>79</v>
      </c>
      <c r="Z4" s="126"/>
      <c r="AA4" s="88"/>
    </row>
    <row r="5" spans="2:27" ht="15.75" thickBot="1" x14ac:dyDescent="0.3">
      <c r="B5" s="132"/>
      <c r="C5" s="135"/>
      <c r="D5" s="138"/>
      <c r="E5" s="141"/>
      <c r="F5" s="126"/>
      <c r="G5" s="141"/>
      <c r="H5" s="126"/>
      <c r="I5" s="126"/>
      <c r="J5" s="28" t="s">
        <v>26</v>
      </c>
      <c r="K5" s="28" t="s">
        <v>26</v>
      </c>
      <c r="L5" s="28" t="s">
        <v>26</v>
      </c>
      <c r="M5" s="28" t="s">
        <v>26</v>
      </c>
      <c r="N5" s="28"/>
      <c r="O5" s="28"/>
      <c r="P5" s="126"/>
      <c r="Q5" s="28" t="s">
        <v>26</v>
      </c>
      <c r="R5" s="28" t="s">
        <v>26</v>
      </c>
      <c r="S5" s="28" t="s">
        <v>26</v>
      </c>
      <c r="T5" s="28" t="s">
        <v>26</v>
      </c>
      <c r="U5" s="29"/>
      <c r="V5" s="28" t="s">
        <v>26</v>
      </c>
      <c r="W5" s="28" t="s">
        <v>26</v>
      </c>
      <c r="X5" s="28" t="s">
        <v>26</v>
      </c>
      <c r="Y5" s="28" t="s">
        <v>26</v>
      </c>
      <c r="Z5" s="30" t="s">
        <v>26</v>
      </c>
      <c r="AA5" s="48" t="s">
        <v>26</v>
      </c>
    </row>
    <row r="6" spans="2:27" ht="15.75" thickBot="1" x14ac:dyDescent="0.3">
      <c r="B6" s="63">
        <v>1</v>
      </c>
      <c r="C6" s="31">
        <v>2</v>
      </c>
      <c r="D6" s="32">
        <v>3</v>
      </c>
      <c r="E6" s="32">
        <v>4</v>
      </c>
      <c r="F6" s="33">
        <v>5</v>
      </c>
      <c r="G6" s="32">
        <v>6</v>
      </c>
      <c r="H6" s="33">
        <v>7</v>
      </c>
      <c r="I6" s="33">
        <v>8</v>
      </c>
      <c r="J6" s="34">
        <v>9</v>
      </c>
      <c r="K6" s="34">
        <v>10</v>
      </c>
      <c r="L6" s="34">
        <v>11</v>
      </c>
      <c r="M6" s="34">
        <v>12</v>
      </c>
      <c r="N6" s="34">
        <v>13</v>
      </c>
      <c r="O6" s="34">
        <v>14</v>
      </c>
      <c r="P6" s="33">
        <v>16</v>
      </c>
      <c r="Q6" s="34">
        <v>17</v>
      </c>
      <c r="R6" s="34">
        <v>18</v>
      </c>
      <c r="S6" s="34">
        <v>19</v>
      </c>
      <c r="T6" s="34">
        <v>20</v>
      </c>
      <c r="U6" s="33">
        <v>21</v>
      </c>
      <c r="V6" s="34">
        <v>22</v>
      </c>
      <c r="W6" s="34">
        <v>23</v>
      </c>
      <c r="X6" s="34">
        <v>24</v>
      </c>
      <c r="Y6" s="34">
        <v>25</v>
      </c>
      <c r="Z6" s="33">
        <v>26</v>
      </c>
      <c r="AA6" s="41">
        <v>28</v>
      </c>
    </row>
    <row r="7" spans="2:27" ht="15.75" thickBot="1" x14ac:dyDescent="0.3">
      <c r="B7" s="35" t="s">
        <v>10</v>
      </c>
      <c r="C7" s="32">
        <v>0</v>
      </c>
      <c r="D7" s="34">
        <v>0</v>
      </c>
      <c r="E7" s="39">
        <f>IFERROR(D7/C7,0)</f>
        <v>0</v>
      </c>
      <c r="F7" s="36">
        <v>0</v>
      </c>
      <c r="G7" s="40">
        <f>IFERROR(F7/D7*100,0)</f>
        <v>0</v>
      </c>
      <c r="H7" s="41">
        <f>SUM(I7,P7,U7,Z7:AA7)</f>
        <v>0</v>
      </c>
      <c r="I7" s="41">
        <f>SUM(J7:O7)</f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41">
        <f>SUM(Q7:T7)</f>
        <v>0</v>
      </c>
      <c r="Q7" s="32">
        <v>0</v>
      </c>
      <c r="R7" s="32">
        <v>0</v>
      </c>
      <c r="S7" s="32">
        <v>0</v>
      </c>
      <c r="T7" s="32">
        <v>0</v>
      </c>
      <c r="U7" s="41">
        <f>SUM(V7:Y7)</f>
        <v>0</v>
      </c>
      <c r="V7" s="32">
        <v>0</v>
      </c>
      <c r="W7" s="32">
        <v>0</v>
      </c>
      <c r="X7" s="32">
        <v>0</v>
      </c>
      <c r="Y7" s="32">
        <v>0</v>
      </c>
      <c r="Z7" s="33">
        <v>0</v>
      </c>
      <c r="AA7" s="41">
        <v>0</v>
      </c>
    </row>
    <row r="8" spans="2:27" ht="26.25" customHeight="1" thickBot="1" x14ac:dyDescent="0.3">
      <c r="B8" s="92" t="s">
        <v>45</v>
      </c>
      <c r="C8" s="93"/>
      <c r="D8" s="93"/>
      <c r="E8" s="93"/>
      <c r="F8" s="93"/>
      <c r="G8" s="93"/>
      <c r="H8" s="42">
        <f>IFERROR((H7/H7)*100,0)</f>
        <v>0</v>
      </c>
      <c r="I8" s="43">
        <f>IFERROR(ROUND(I7/$H$7,4)*100,0)</f>
        <v>0</v>
      </c>
      <c r="J8" s="43">
        <f>IFERROR(ROUND(J7/$H$7,4)*100,0)</f>
        <v>0</v>
      </c>
      <c r="K8" s="43">
        <f t="shared" ref="K8:AA8" si="0">IFERROR(ROUND(K7/$H$7,4)*100,0)</f>
        <v>0</v>
      </c>
      <c r="L8" s="43">
        <f t="shared" si="0"/>
        <v>0</v>
      </c>
      <c r="M8" s="43">
        <f t="shared" si="0"/>
        <v>0</v>
      </c>
      <c r="N8" s="43">
        <f t="shared" si="0"/>
        <v>0</v>
      </c>
      <c r="O8" s="43">
        <f t="shared" si="0"/>
        <v>0</v>
      </c>
      <c r="P8" s="43">
        <f t="shared" si="0"/>
        <v>0</v>
      </c>
      <c r="Q8" s="43">
        <f t="shared" si="0"/>
        <v>0</v>
      </c>
      <c r="R8" s="43">
        <f t="shared" si="0"/>
        <v>0</v>
      </c>
      <c r="S8" s="43">
        <f t="shared" si="0"/>
        <v>0</v>
      </c>
      <c r="T8" s="43">
        <f t="shared" si="0"/>
        <v>0</v>
      </c>
      <c r="U8" s="43">
        <f t="shared" si="0"/>
        <v>0</v>
      </c>
      <c r="V8" s="43">
        <f t="shared" si="0"/>
        <v>0</v>
      </c>
      <c r="W8" s="43">
        <f t="shared" si="0"/>
        <v>0</v>
      </c>
      <c r="X8" s="43">
        <f t="shared" si="0"/>
        <v>0</v>
      </c>
      <c r="Y8" s="43">
        <f t="shared" si="0"/>
        <v>0</v>
      </c>
      <c r="Z8" s="43">
        <f t="shared" si="0"/>
        <v>0</v>
      </c>
      <c r="AA8" s="43">
        <f t="shared" si="0"/>
        <v>0</v>
      </c>
    </row>
    <row r="9" spans="2:27" ht="11.25" customHeight="1" x14ac:dyDescent="0.2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</sheetData>
  <sheetProtection formatCells="0" formatColumns="0" formatRows="0"/>
  <protectedRanges>
    <protectedRange algorithmName="SHA-512" hashValue="BgEaODIZE95i0kyA/OMQhBlZBNhNlv72qXK17CZ2RWyxTC8luaZXsB8/86N9rciMKOvq7hTJ2za17PYMIBclJg==" saltValue="quY85AYu07zb/UWYIKaWsg==" spinCount="100000" sqref="AB1:XFD1048576 A1:O1048576 P1:Z1048576" name="Диапазон1" securityDescriptor="O:WDG:WDD:(A;;CC;;;S-1-5-21-2537963998-199366300-876727161-13918)"/>
    <protectedRange algorithmName="SHA-512" hashValue="Uzcw2gkwAJ8/k+jYw5w4wQg/9izr/xKsqC4u+ZphcmS6Y3WHHaKsGQRlUbTVmZ/9D8H1GKFzBCp87jyJJKhGtg==" saltValue="tMUpKGJKZgydZ8BaW2rtkQ==" spinCount="100000" sqref="AA1:AA1048576" name="Диапазон1_1" securityDescriptor="O:WDG:WDD:(A;;CC;;;S-1-5-21-2537963998-199366300-876727161-13918)"/>
  </protectedRanges>
  <mergeCells count="17">
    <mergeCell ref="B8:G8"/>
    <mergeCell ref="H2:H5"/>
    <mergeCell ref="I3:I5"/>
    <mergeCell ref="P3:P5"/>
    <mergeCell ref="Q3:T3"/>
    <mergeCell ref="U3:U4"/>
    <mergeCell ref="V3:Y3"/>
    <mergeCell ref="Z3:Z4"/>
    <mergeCell ref="B2:B5"/>
    <mergeCell ref="C2:C5"/>
    <mergeCell ref="D2:D5"/>
    <mergeCell ref="I2:AA2"/>
    <mergeCell ref="E2:E5"/>
    <mergeCell ref="F2:F5"/>
    <mergeCell ref="AA3:AA4"/>
    <mergeCell ref="G2:G5"/>
    <mergeCell ref="J3:O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Таблица 1</vt:lpstr>
      <vt:lpstr>Таблица 2</vt:lpstr>
      <vt:lpstr>ДТ</vt:lpstr>
      <vt:lpstr>МКД</vt:lpstr>
      <vt:lpstr>ОДХ</vt:lpstr>
      <vt:lpstr>ОО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2026-01-13T05:03:28Z</dcterms:modified>
</cp:coreProperties>
</file>